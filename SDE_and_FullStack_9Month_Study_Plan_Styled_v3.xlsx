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Month Plan" sheetId="2" state="visible" r:id="rId4"/>
    <sheet name="Timeline" sheetId="3" state="visible" r:id="rId5"/>
    <sheet name="SDE Plan" sheetId="4" state="visible" r:id="rId6"/>
    <sheet name="FullStack Plan" sheetId="5" state="visible" r:id="rId7"/>
    <sheet name="Module Summary" sheetId="6" state="visible" r:id="rId8"/>
    <sheet name="Resources" sheetId="7" state="visible" r:id="rId9"/>
    <sheet name="Projects" sheetId="8" state="visible" r:id="rId10"/>
    <sheet name="Sources &amp; Notes" sheetId="9" state="visible" r:id="rId11"/>
  </sheets>
  <definedNames>
    <definedName function="false" hidden="false" localSheetId="4" name="_xlnm.Print_Titles" vbProcedure="false">'FullStack Plan'!$5:$5</definedName>
    <definedName function="false" hidden="true" localSheetId="4" name="_xlnm._FilterDatabase" vbProcedure="false">'FullStack Plan'!$A$5:$M$78</definedName>
    <definedName function="false" hidden="false" localSheetId="5" name="_xlnm.Print_Titles" vbProcedure="false">'Module Summary'!$4:$4</definedName>
    <definedName function="false" hidden="false" localSheetId="1" name="_xlnm.Print_Titles" vbProcedure="false">'Month Plan'!$4:$4</definedName>
    <definedName function="false" hidden="false" localSheetId="0" name="_xlnm.Print_Titles" vbProcedure="false">Overview!$1:$2</definedName>
    <definedName function="false" hidden="false" localSheetId="7" name="_xlnm.Print_Titles" vbProcedure="false">Projects!$4:$4</definedName>
    <definedName function="false" hidden="false" localSheetId="6" name="_xlnm.Print_Titles" vbProcedure="false">Resources!$4:$4</definedName>
    <definedName function="false" hidden="true" localSheetId="6" name="_xlnm._FilterDatabase" vbProcedure="false">Resources!$A$4:$H$40</definedName>
    <definedName function="false" hidden="false" localSheetId="3" name="_xlnm.Print_Titles" vbProcedure="false">'SDE Plan'!$5:$5</definedName>
    <definedName function="false" hidden="true" localSheetId="3" name="_xlnm._FilterDatabase" vbProcedure="false">'SDE Plan'!$A$5:$M$78</definedName>
    <definedName function="false" hidden="false" localSheetId="8" name="_xlnm.Print_Titles" vbProcedure="false">'Sources &amp; Notes'!$1:$1</definedName>
    <definedName function="false" hidden="false" localSheetId="2" name="_xlnm.Print_Titles" vbProcedure="false">Timeline!$4:$5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<sst xmlns="http://schemas.openxmlformats.org/spreadsheetml/2006/main" count="2034" uniqueCount="826">
  <si>
    <t xml:space="preserve">🎓  9-Month Study Plan  ·  SDE &amp; Full-Stack Web Developer</t>
  </si>
  <si>
    <t xml:space="preserve">Built from the Scaler Academy brochure and the Besant Technologies syllabus · edit the yellow cells to personalise  ·  Developed by Rajesh Kumar Singh</t>
  </si>
  <si>
    <t xml:space="preserve">⚙️  YOUR INPUTS</t>
  </si>
  <si>
    <t xml:space="preserve">Plan start date (use a Monday)</t>
  </si>
  <si>
    <t xml:space="preserve">Study hours per week</t>
  </si>
  <si>
    <t xml:space="preserve">Compressed plan: aim for 18–22 h/week</t>
  </si>
  <si>
    <t xml:space="preserve">Experience level (SDE plan)</t>
  </si>
  <si>
    <t xml:space="preserve">Intermediate</t>
  </si>
  <si>
    <t xml:space="preserve">Intermediate = 39 wks · Beginner adds 8 wks (≈11 months) · Advanced skips Intermediate DSA</t>
  </si>
  <si>
    <t xml:space="preserve">🧠  SDE Plan</t>
  </si>
  <si>
    <t xml:space="preserve">SDE Plan</t>
  </si>
  <si>
    <t xml:space="preserve">WEEKS PLANNED</t>
  </si>
  <si>
    <t xml:space="preserve">TOTAL HOURS</t>
  </si>
  <si>
    <t xml:space="preserve">PLANNED FINISH</t>
  </si>
  <si>
    <t xml:space="preserve">PROGRESS</t>
  </si>
  <si>
    <t xml:space="preserve">🌐  Full-Stack Plan</t>
  </si>
  <si>
    <t xml:space="preserve">Full-Stack Plan</t>
  </si>
  <si>
    <t xml:space="preserve">📊  WEEKS BY PHASE</t>
  </si>
  <si>
    <t xml:space="preserve">Phase</t>
  </si>
  <si>
    <t xml:space="preserve">SDE</t>
  </si>
  <si>
    <t xml:space="preserve">Full-Stack</t>
  </si>
  <si>
    <t xml:space="preserve">0. 🧱 Foundations</t>
  </si>
  <si>
    <t xml:space="preserve">1. 🌐 Web Foundations</t>
  </si>
  <si>
    <t xml:space="preserve">1. 🧩 Problem Solving</t>
  </si>
  <si>
    <t xml:space="preserve">2. ⚡ JavaScript</t>
  </si>
  <si>
    <t xml:space="preserve">2. 🤖 AI Skills</t>
  </si>
  <si>
    <t xml:space="preserve">3. ⚛️ React</t>
  </si>
  <si>
    <t xml:space="preserve">3. 🧠 DSA</t>
  </si>
  <si>
    <t xml:space="preserve">4. 🗄️ Databases</t>
  </si>
  <si>
    <t xml:space="preserve">4. 🛠️ Backend (MERN)</t>
  </si>
  <si>
    <t xml:space="preserve">5. ⚙️ Backend &amp; LLD</t>
  </si>
  <si>
    <t xml:space="preserve">5. 🚀 Advanced Frontend</t>
  </si>
  <si>
    <t xml:space="preserve">6. 🏆 Capstone</t>
  </si>
  <si>
    <t xml:space="preserve">6. 🏗️ System Design</t>
  </si>
  <si>
    <t xml:space="preserve">7. 🎯 Interview Prep</t>
  </si>
  <si>
    <t xml:space="preserve">7. 🎯 Interview Readiness</t>
  </si>
  <si>
    <t xml:space="preserve">8. ✨ Electives (optional)</t>
  </si>
  <si>
    <t xml:space="preserve">8. ✨ Optional extensions</t>
  </si>
  <si>
    <t xml:space="preserve">Total weeks</t>
  </si>
  <si>
    <t xml:space="preserve">🧭  HOW TO USE</t>
  </si>
  <si>
    <t xml:space="preserve">1.  Set the start date, weekly hours and level in the yellow cells above.</t>
  </si>
  <si>
    <t xml:space="preserve">2.  Open SDE Plan / FullStack Plan – each row is one week: topics, 📖 reading link, ▶ YouTube link, practice &amp; milestone.</t>
  </si>
  <si>
    <t xml:space="preserve">3.  Set Include? to No to skip a week or module – dates, Timeline and totals re-flow automatically (grey rows are skipped).</t>
  </si>
  <si>
    <t xml:space="preserve">4.  Update Status each week: the cards above, Timeline (dark-green = done) and Module Summary update live.</t>
  </si>
  <si>
    <t xml:space="preserve">5.  Month Plan = your 9-month view · Timeline = Gantt chart · Resources = more links · Projects = portfolio tracker.</t>
  </si>
  <si>
    <t xml:space="preserve">Legend:  blue text = you edit · black = formula · yellow fill = key input · grey rows = skipped.  Include? for the first SDE modules follows your level – overwrite with Yes/No to override.</t>
  </si>
  <si>
    <t xml:space="preserve">🎯  WHICH PLAN SHOULD I FOLLOW?</t>
  </si>
  <si>
    <t xml:space="preserve">🧠 SDE Plan → product-company / FAANG-style interviews: DSA, LLD, HLD, Java/Spring backend, AI skills.</t>
  </si>
  <si>
    <t xml:space="preserve">🌐 Full-Stack Plan → web-product roles: HTML/CSS, JavaScript, React, Node/Express/MongoDB, SQL + light DSA.</t>
  </si>
  <si>
    <t xml:space="preserve">Doing both? Do Full-Stack first, then switch on Advanced DSA and System Design in it.</t>
  </si>
  <si>
    <t xml:space="preserve">Developed by Rajesh Kumar Singh</t>
  </si>
  <si>
    <t xml:space="preserve">9-Month Roadmap – month by month</t>
  </si>
  <si>
    <t xml:space="preserve">Auto-built from the plan sheets (Include? changes flow through). Plan weeks are numbered 1–39; if you pick Beginner or switch on extras, later weeks run past month 9.</t>
  </si>
  <si>
    <t xml:space="preserve">Month</t>
  </si>
  <si>
    <t xml:space="preserve">Plan weeks</t>
  </si>
  <si>
    <t xml:space="preserve">From (wk 1 of month)</t>
  </si>
  <si>
    <t xml:space="preserve">SDE focus</t>
  </si>
  <si>
    <t xml:space="preserve">Full-Stack focus</t>
  </si>
  <si>
    <t xml:space="preserve">Hours (SDE / FS)</t>
  </si>
  <si>
    <t xml:space="preserve">Month goal</t>
  </si>
  <si>
    <t xml:space="preserve">wk from</t>
  </si>
  <si>
    <t xml:space="preserve">wk to</t>
  </si>
  <si>
    <t xml:space="preserve">Month 1</t>
  </si>
  <si>
    <t xml:space="preserve">1–4</t>
  </si>
  <si>
    <t xml:space="preserve">Checkpoint: first module contest passed + one mini project on GitHub</t>
  </si>
  <si>
    <t xml:space="preserve">Month 2</t>
  </si>
  <si>
    <t xml:space="preserve">5–9</t>
  </si>
  <si>
    <t xml:space="preserve">Checkpoint: 40+ DSA problems solved; first deployed page/app</t>
  </si>
  <si>
    <t xml:space="preserve">Month 3</t>
  </si>
  <si>
    <t xml:space="preserve">10–13</t>
  </si>
  <si>
    <t xml:space="preserve">Checkpoint: 80+ DSA problems; second project live</t>
  </si>
  <si>
    <t xml:space="preserve">Month 4</t>
  </si>
  <si>
    <t xml:space="preserve">14–17</t>
  </si>
  <si>
    <t xml:space="preserve">Checkpoint: DSA phase done / React app live; 1 mock interview</t>
  </si>
  <si>
    <t xml:space="preserve">Month 5</t>
  </si>
  <si>
    <t xml:space="preserve">18–22</t>
  </si>
  <si>
    <t xml:space="preserve">Checkpoint: SQL contest passed; backend API running with a database</t>
  </si>
  <si>
    <t xml:space="preserve">Month 6</t>
  </si>
  <si>
    <t xml:space="preserve">23–26</t>
  </si>
  <si>
    <t xml:space="preserve">Checkpoint: auth + CRUD service built; 120+ DSA problems</t>
  </si>
  <si>
    <t xml:space="preserve">Month 7</t>
  </si>
  <si>
    <t xml:space="preserve">27–30</t>
  </si>
  <si>
    <t xml:space="preserve">Checkpoint: design patterns / advanced frontend applied in a real project</t>
  </si>
  <si>
    <t xml:space="preserve">Month 8</t>
  </si>
  <si>
    <t xml:space="preserve">31–35</t>
  </si>
  <si>
    <t xml:space="preserve">Checkpoint: capstone feature-complete; first system-design write-up</t>
  </si>
  <si>
    <t xml:space="preserve">Month 9</t>
  </si>
  <si>
    <t xml:space="preserve">36–39</t>
  </si>
  <si>
    <t xml:space="preserve">Final: capstone deployed, 3 mock interviews, resume &amp; LinkedIn updated</t>
  </si>
  <si>
    <t xml:space="preserve">🗓️  Timeline – Gantt view of the 39-week plan</t>
  </si>
  <si>
    <t xml:space="preserve">Bars are formulas: coloured = planned weeks, dark green = weeks marked Done. Skipped (Include? = No) modules show no bar.</t>
  </si>
  <si>
    <t xml:space="preserve">Track</t>
  </si>
  <si>
    <t xml:space="preserve">Module</t>
  </si>
  <si>
    <t xml:space="preserve">Start wk</t>
  </si>
  <si>
    <t xml:space="preserve">End wk</t>
  </si>
  <si>
    <t xml:space="preserve">🧠  SDE TRACK</t>
  </si>
  <si>
    <t xml:space="preserve">Programming Fundamentals – Thinking with AI: Logics, Loops &amp; Control Flow</t>
  </si>
  <si>
    <t xml:space="preserve">Programming Fundamentals – Code Smarter with AI: Functions &amp; Arrays</t>
  </si>
  <si>
    <t xml:space="preserve">Intermediate DSA: AI-Assisted Problem Solving</t>
  </si>
  <si>
    <t xml:space="preserve">Agentic AI: From Talking to AI to Building One</t>
  </si>
  <si>
    <t xml:space="preserve">Advanced DSA: Foundations – Core Techniques &amp; Optimization</t>
  </si>
  <si>
    <t xml:space="preserve">Advanced DSA: Linear &amp; Non-Linear Structures</t>
  </si>
  <si>
    <t xml:space="preserve">Advanced DSA: Backtracking &amp; Advanced Trees</t>
  </si>
  <si>
    <t xml:space="preserve">Advanced DSA: DP, Heaps &amp; Graphs – Crack It with AI Edge</t>
  </si>
  <si>
    <t xml:space="preserve">Databases &amp; SQL</t>
  </si>
  <si>
    <t xml:space="preserve">Foundations of Object-Oriented Design &amp; Scalable Systems</t>
  </si>
  <si>
    <t xml:space="preserve">Design Principles &amp; Patterns for Extensible Systems</t>
  </si>
  <si>
    <t xml:space="preserve">Applied Design &amp; Machine Coding</t>
  </si>
  <si>
    <t xml:space="preserve">AI-First Backend Capstone Project – Primer</t>
  </si>
  <si>
    <t xml:space="preserve">AI-First Backend Capstone Project – Advance</t>
  </si>
  <si>
    <t xml:space="preserve">Distributed System Design &amp; AI-Integrated Architectures</t>
  </si>
  <si>
    <t xml:space="preserve">Mastering LastMile – Interview Simulation</t>
  </si>
  <si>
    <t xml:space="preserve">Build a Production-Ready AI-Enabled System</t>
  </si>
  <si>
    <t xml:space="preserve">DSA Edge: Advanced Patterns &amp; Interview Techniques</t>
  </si>
  <si>
    <t xml:space="preserve">Gen AI for Software Engineers</t>
  </si>
  <si>
    <t xml:space="preserve">Data Engineering</t>
  </si>
  <si>
    <t xml:space="preserve">Product Management for Engineers</t>
  </si>
  <si>
    <t xml:space="preserve">🌐  FULL-STACK TRACK</t>
  </si>
  <si>
    <t xml:space="preserve">HTML &amp; CSS Foundations</t>
  </si>
  <si>
    <t xml:space="preserve">Bootstrap (supplementary)</t>
  </si>
  <si>
    <t xml:space="preserve">JavaScript Runtime Systems, Browser APIs &amp; Product Labs</t>
  </si>
  <si>
    <t xml:space="preserve">JavaScript Object System &amp; Engineering Patterns</t>
  </si>
  <si>
    <t xml:space="preserve">jQuery (legacy, optional)</t>
  </si>
  <si>
    <t xml:space="preserve">React &amp; Frontend Product Architecture Fundamentals</t>
  </si>
  <si>
    <t xml:space="preserve">Backend Product Systems, APIs &amp; Production Engineering (MERN)</t>
  </si>
  <si>
    <t xml:space="preserve">Backend Product Systems – Deep Dive</t>
  </si>
  <si>
    <t xml:space="preserve">React, TypeScript &amp; Frontend Architecture – Deep Dive (incl. Next.js)</t>
  </si>
  <si>
    <t xml:space="preserve">Foundations of AI-Assisted Full-Stack Development</t>
  </si>
  <si>
    <t xml:space="preserve">Full-Stack Capstone Project (suggested)</t>
  </si>
  <si>
    <t xml:space="preserve">Advanced DSA (all 4 modules, condensed)</t>
  </si>
  <si>
    <t xml:space="preserve">System Design Essentials</t>
  </si>
  <si>
    <t xml:space="preserve">Angular – MEAN Stack (alternative)</t>
  </si>
  <si>
    <t xml:space="preserve">PHP, MySQL &amp; Laravel (alternative)</t>
  </si>
  <si>
    <t xml:space="preserve">9-Month SDE Study Plan – DSA · LLD · HLD · Backend · AI (39 weeks)</t>
  </si>
  <si>
    <t xml:space="preserve">Scaler curriculum compressed to 39 weeks (Intermediate level): AI → DSA → SQL → LLD/backend → system design → interview prep. Electives are off.</t>
  </si>
  <si>
    <t xml:space="preserve">Edit the blue cells: Include?, Status, Notes. Start date, hours &amp; level live on Overview. Links: 📖 opens a docs/tutorial page, ▶ opens a YouTube search for that week's first topic.</t>
  </si>
  <si>
    <t xml:space="preserve">Plan Wk</t>
  </si>
  <si>
    <t xml:space="preserve">Include?</t>
  </si>
  <si>
    <t xml:space="preserve">Start (Mon)</t>
  </si>
  <si>
    <t xml:space="preserve">End (Sun)</t>
  </si>
  <si>
    <t xml:space="preserve">Topics this week</t>
  </si>
  <si>
    <t xml:space="preserve">📖 Where to read</t>
  </si>
  <si>
    <t xml:space="preserve">▶ YouTube (this week)</t>
  </si>
  <si>
    <t xml:space="preserve">Practice &amp; milestone</t>
  </si>
  <si>
    <t xml:space="preserve">Hrs target</t>
  </si>
  <si>
    <t xml:space="preserve">Status</t>
  </si>
  <si>
    <t xml:space="preserve">Notes</t>
  </si>
  <si>
    <t xml:space="preserve">• Programming foundations &amp; AI awareness
• Operators &amp; expression evaluation using AI</t>
  </si>
  <si>
    <t xml:space="preserve">📖 freeCodeCamp Learn</t>
  </si>
  <si>
    <t xml:space="preserve">▶ Programming foundations &amp; AI aware…</t>
  </si>
  <si>
    <t xml:space="preserve">3–4 problems/day on conditions, loops &amp; patterns in your chosen language</t>
  </si>
  <si>
    <t xml:space="preserve">Not Started</t>
  </si>
  <si>
    <t xml:space="preserve">• Data types 1 &amp; 2 + reading inputs
• If-Else &amp; AI edge-case thinking
• Lab: If-Else</t>
  </si>
  <si>
    <t xml:space="preserve">📖 Java tutorials (dev.java)</t>
  </si>
  <si>
    <t xml:space="preserve">▶ Data types 1 &amp; 2 + reading inputs</t>
  </si>
  <si>
    <t xml:space="preserve">• Loops &amp; iteration analysis by AI
• Lab: Loops</t>
  </si>
  <si>
    <t xml:space="preserve">📖 GeeksforGeeks</t>
  </si>
  <si>
    <t xml:space="preserve">▶ Loops &amp; iteration analysis by AI</t>
  </si>
  <si>
    <t xml:space="preserve">• More problems on loops &amp; patterns
• Lab: Patterns
• Proctored contest: data types, if-else, loops + discussion</t>
  </si>
  <si>
    <t xml:space="preserve">▶ More problems on loops &amp; patterns</t>
  </si>
  <si>
    <t xml:space="preserve">3–4 problems/day on conditions, loops &amp; patterns in your chosen language
★ Milestone: Pass the loops/patterns contest</t>
  </si>
  <si>
    <t xml:space="preserve">• Functions &amp; modularity: designing code with AI
• Lab: Functions</t>
  </si>
  <si>
    <t xml:space="preserve">▶ designing code with AI</t>
  </si>
  <si>
    <t xml:space="preserve">3–4 problems/day on arrays, strings &amp; functions</t>
  </si>
  <si>
    <t xml:space="preserve">• Introduction to strings
• 1D arrays + labs 1 &amp; 2</t>
  </si>
  <si>
    <t xml:space="preserve">▶ Introduction to strings</t>
  </si>
  <si>
    <t xml:space="preserve">• 2D arrays 1 + labs 1 &amp; 2
• Strings in memory: visualising with AI</t>
  </si>
  <si>
    <t xml:space="preserve">▶ 2D arrays 1 + labs 1 &amp; 2</t>
  </si>
  <si>
    <t xml:space="preserve">• Maths basics &amp; calculating iterations
• Revision: language
• Contest 2: Functions &amp; Arrays</t>
  </si>
  <si>
    <t xml:space="preserve">▶ Maths basics &amp; calculating iterati…</t>
  </si>
  <si>
    <t xml:space="preserve">3–4 problems/day on arrays, strings &amp; functions
★ Milestone: Pass Contest 2</t>
  </si>
  <si>
    <t xml:space="preserve">• Time complexity
• Intro to arrays &amp; basics of AI
• Lab: TC, SC, output &amp; debugging
• Arrays: prefix sum &amp; carry forward (AI-assisted)
• Lab: prefix sum &amp; carry forward
• Array techniques &amp; smart prompting</t>
  </si>
  <si>
    <t xml:space="preserve">📖 NeetCode roadmap</t>
  </si>
  <si>
    <t xml:space="preserve">▶ Time complexity</t>
  </si>
  <si>
    <t xml:space="preserve">5–6 array/string problems/week; write TC/SC for each solution</t>
  </si>
  <si>
    <t xml:space="preserve">Compressed from 4 wks (9-month plan)</t>
  </si>
  <si>
    <t xml:space="preserve">• Lab: memory management &amp; sorting basics
• Bit manipulation basics
• Lab: 2D matrices
• Strings &amp; immutability (AI visualisations)
• Lab: matrix &amp; strings using AI
• Contest</t>
  </si>
  <si>
    <t xml:space="preserve">📖 GeeksforGeeks DSA</t>
  </si>
  <si>
    <t xml:space="preserve">▶ memory management &amp; sorting basics</t>
  </si>
  <si>
    <t xml:space="preserve">5–6 array/string problems/week; write TC/SC for each solution
★ Milestone: Pass the module contest</t>
  </si>
  <si>
    <t xml:space="preserve">Yes</t>
  </si>
  <si>
    <t xml:space="preserve">• GenAI world &amp; LLM landscape
• Prompt engineering basics
• Advanced prompting &amp; AI safety basics
• LLM built-in power tools
• RAG</t>
  </si>
  <si>
    <t xml:space="preserve">📖 n8n docs</t>
  </si>
  <si>
    <t xml:space="preserve">▶ GenAI world &amp; LLM landscape</t>
  </si>
  <si>
    <t xml:space="preserve">Build 1 small automation or agent per week; keep a prompt journal</t>
  </si>
  <si>
    <t xml:space="preserve">• n8n automation workflow
• What is an AI agent?
• Building agents with n8n
• OpenClaw: personal 24/7 AI agent
• Multi-agent systems
• Debugging AI</t>
  </si>
  <si>
    <t xml:space="preserve">📖 Prompt engineering guide (Anthropic)</t>
  </si>
  <si>
    <t xml:space="preserve">▶ n8n automation workflow</t>
  </si>
  <si>
    <t xml:space="preserve">Build 1 small automation or agent per week; keep a prompt journal
★ Milestone: Working n8n agent demo</t>
  </si>
  <si>
    <t xml:space="preserve">• Time complexity
• Arrays 1 (1D) &amp; Arrays 2 (2D)
• Lab: Arrays</t>
  </si>
  <si>
    <t xml:space="preserve">8–10 problems/week (LeetCode/InterviewBit); redo failed ones after 3 days</t>
  </si>
  <si>
    <t xml:space="preserve">• Bit manipulation + lab
• Recursion + lab
• Maths: modular arithmetic &amp; GCD
• Hashing + lab</t>
  </si>
  <si>
    <t xml:space="preserve">📖 CP-Algorithms</t>
  </si>
  <si>
    <t xml:space="preserve">▶ Bit manipulation + lab</t>
  </si>
  <si>
    <t xml:space="preserve">• Sorting 1: count sort &amp; merge sort
• Sorting 2: quick sort &amp; comparator problems
• Sample contest (dual-camera proctoring)
• Contest 1: arrays, bits, recursion, math, hashing &amp; sorting</t>
  </si>
  <si>
    <t xml:space="preserve">📖 LeetCode problems</t>
  </si>
  <si>
    <t xml:space="preserve">▶ count sort &amp; merge sort</t>
  </si>
  <si>
    <t xml:space="preserve">8–10 problems/week (LeetCode/InterviewBit); redo failed ones after 3 days
★ Milestone: Pass Contest 1</t>
  </si>
  <si>
    <t xml:space="preserve">• Searching 1: binary search on array
• Searching 2: binary search on answer
• Lab: Searching
• Classes, objects &amp; linked list intro</t>
  </si>
  <si>
    <t xml:space="preserve">▶ binary search on array</t>
  </si>
  <si>
    <t xml:space="preserve">8–10 problems/week; implement stack/queue/BST from scratch once</t>
  </si>
  <si>
    <t xml:space="preserve">• Linked list: basic problems
• Stacks + lab
• Queues: implementation &amp; problems
• Trees 1: structure &amp; traversal</t>
  </si>
  <si>
    <t xml:space="preserve">▶ basic problems</t>
  </si>
  <si>
    <t xml:space="preserve">• Trees 2: BST
• Lab: Binary trees
• Revision of DSA 1 &amp; 2
• Contest 2: searching, linked list, stacks, queues &amp; trees</t>
  </si>
  <si>
    <t xml:space="preserve">▶ Trees 2: BST</t>
  </si>
  <si>
    <t xml:space="preserve">8–10 problems/week; implement stack/queue/BST from scratch once
★ Milestone: Pass Contest 2</t>
  </si>
  <si>
    <t xml:space="preserve">• Maths: combinatorics basics &amp; prime numbers
• Lab: prime numbers, 2 pointers &amp; maths
• Backtracking + lab</t>
  </si>
  <si>
    <t xml:space="preserve">▶ combinatorics basics &amp; prime numbe…</t>
  </si>
  <si>
    <t xml:space="preserve">8–10 problems/week; solve every backtracking problem with a recursion tree sketch</t>
  </si>
  <si>
    <t xml:space="preserve">• Linked list: sorting &amp; problems
• Linked list: doubly linked list &amp; detecting loop
• Trees 4: Morris inorder traversal + LCA</t>
  </si>
  <si>
    <t xml:space="preserve">▶ sorting &amp; problems</t>
  </si>
  <si>
    <t xml:space="preserve">• Lab: Binary trees 2
• Hashing 3: internal implementation &amp; problems
• Contest 3: math, two pointers, backtracking, linked list &amp; trees</t>
  </si>
  <si>
    <t xml:space="preserve">▶ Binary trees 2</t>
  </si>
  <si>
    <t xml:space="preserve">8–10 problems/week; solve every backtracking problem with a recursion tree sketch
★ Milestone: Pass Contest 3</t>
  </si>
  <si>
    <t xml:space="preserve">• Heaps: introduction
• Heap sort &amp; greedy + lab
• Lab: interview problems 1</t>
  </si>
  <si>
    <t xml:space="preserve">▶ introduction</t>
  </si>
  <si>
    <t xml:space="preserve">10 problems/week incl. 3 DP + 3 graph; timed 45-min mock once a week</t>
  </si>
  <si>
    <t xml:space="preserve">• DP 1: one-dimensional
• DP 2: two-dimensional
• DP 3: knapsack + lab on applications
• Graphs 1: intro, DFS &amp; cycle detection</t>
  </si>
  <si>
    <t xml:space="preserve">▶ one-dimensional</t>
  </si>
  <si>
    <t xml:space="preserve">• Graphs 2: BFS &amp; MST
• Graphs 3: Dijkstra &amp; topological sort
• Lab: interview problems 2</t>
  </si>
  <si>
    <t xml:space="preserve">▶ Graphs 2: BFS &amp; MST</t>
  </si>
  <si>
    <t xml:space="preserve">• Revision of DSA 3 &amp; 4
• Contest 4: heaps, greedy, DP &amp; graphs
• Mandatory DSA skill-evaluation test + discussion
• Real-world projects: Social Network Analyzer &amp; Invoice Merger</t>
  </si>
  <si>
    <t xml:space="preserve">▶ Revision of DSA 3 &amp; 4</t>
  </si>
  <si>
    <t xml:space="preserve">10 problems/week incl. 3 DP + 3 graph; timed 45-min mock once a week
★ Milestone: Pass the DSA Skill Evaluation Test; ship both DSA projects</t>
  </si>
  <si>
    <t xml:space="preserve">• Intro to DBMS &amp; keys
• CRUD operations 1 &amp; 2
• Joins
• Aggregate queries
• Joins &amp; aggregates working session</t>
  </si>
  <si>
    <t xml:space="preserve">📖 SQLBolt interactive</t>
  </si>
  <si>
    <t xml:space="preserve">▶ Intro to DBMS &amp; keys</t>
  </si>
  <si>
    <t xml:space="preserve">10 SQL problems/week (joins, window functions); design 1 schema on paper per week</t>
  </si>
  <si>
    <t xml:space="preserve">• Subqueries &amp; views
• Indexing
• Transactions
• Window functions
• Schema design 1 &amp; 2
• Contest: SQL &amp; schema design</t>
  </si>
  <si>
    <t xml:space="preserve">📖 W3Schools SQL</t>
  </si>
  <si>
    <t xml:space="preserve">▶ Subqueries &amp; views</t>
  </si>
  <si>
    <t xml:space="preserve">10 SQL problems/week (joins, window functions); design 1 schema on paper per week
★ Milestone: Pass the SQL &amp; schema-design contest</t>
  </si>
  <si>
    <t xml:space="preserve">• Intro to LLD for scalable &amp; AI-ready systems
• OOP-1: intro to OOP lab
• OOP-2: access modifiers &amp; constructors
• OOP-3: inheritance &amp; polymorphism</t>
  </si>
  <si>
    <t xml:space="preserve">▶ Intro to LLD for scalable &amp; AI-rea…</t>
  </si>
  <si>
    <t xml:space="preserve">Code along in Java daily; write a thread-safe producer–consumer</t>
  </si>
  <si>
    <t xml:space="preserve">• OOP-4: interfaces &amp; abstract classes
• Concurrency 1: processes &amp; threads
• Concurrency 2: executors &amp; callables
• Concurrency 3: synchronization
• Concurrency 4: semaphores</t>
  </si>
  <si>
    <t xml:space="preserve">📖 Oracle: Java concurrency</t>
  </si>
  <si>
    <t xml:space="preserve">▶ interfaces &amp; abstract classes</t>
  </si>
  <si>
    <t xml:space="preserve">• Java advanced 1: generics
• Java advanced 2: generics &amp; collections lab
• Java advanced 3: streams &amp; lambdas
• Java advanced 4: exception handling &amp; misc
• Contest 1: Java, OOP &amp; concurrency</t>
  </si>
  <si>
    <t xml:space="preserve">📖 Refactoring Guru</t>
  </si>
  <si>
    <t xml:space="preserve">▶ Java advanced 1: generics</t>
  </si>
  <si>
    <t xml:space="preserve">Code along in Java daily; write a thread-safe producer–consumer
★ Milestone: Pass Contest 1</t>
  </si>
  <si>
    <t xml:space="preserve">• SOLID principles with AI integrations
• Design patterns: intro &amp; Singleton
• Builder
• Prototype &amp; Registry
• Factory for service abstraction (APIs &amp; AI services)</t>
  </si>
  <si>
    <t xml:space="preserve">📖 Refactoring Guru patterns</t>
  </si>
  <si>
    <t xml:space="preserve">▶ SOLID principles with AI integrati…</t>
  </si>
  <si>
    <t xml:space="preserve">Refactor one old project using 2 patterns; draw UML for each</t>
  </si>
  <si>
    <t xml:space="preserve">• Adapter &amp; Facade
• Decorator &amp; Flyweight
• Behavioural patterns
• UML diagrams
• Contest 2: principles &amp; patterns</t>
  </si>
  <si>
    <t xml:space="preserve">📖 Refactoring Guru SOLID</t>
  </si>
  <si>
    <t xml:space="preserve">▶ Adapter &amp; Facade</t>
  </si>
  <si>
    <t xml:space="preserve">Refactor one old project using 2 patterns; draw UML for each
★ Milestone: Pass Contest 2</t>
  </si>
  <si>
    <t xml:space="preserve">• How to approach design problems
• Design + code TicTacToe (2 sessions)</t>
  </si>
  <si>
    <t xml:space="preserve">▶ How to approach design problems</t>
  </si>
  <si>
    <t xml:space="preserve">Re-implement each LLD problem from a blank file in 90 minutes</t>
  </si>
  <si>
    <t xml:space="preserve">• Design + code Parking Lot
• Design BookMyShow
• Code BookMyShow 1, 2 &amp; 3</t>
  </si>
  <si>
    <t xml:space="preserve">▶ Design + code Parking Lot</t>
  </si>
  <si>
    <t xml:space="preserve">• Design Splitwise
• Code Splitwise 1 &amp; 2
• Machine coding</t>
  </si>
  <si>
    <t xml:space="preserve">📖 InterviewBit</t>
  </si>
  <si>
    <t xml:space="preserve">▶ Design Splitwise</t>
  </si>
  <si>
    <t xml:space="preserve">Re-implement each LLD problem from a blank file in 90 minutes
★ Milestone: Machine-coding round done in &lt;90 min</t>
  </si>
  <si>
    <t xml:space="preserve">• Intro to backend systems &amp; AI-augmented development
• Version control &amp; Git; Git commands &amp; AI dev tools
• Intro to Spring &amp; building APIs</t>
  </si>
  <si>
    <t xml:space="preserve">📖 Spring guides</t>
  </si>
  <si>
    <t xml:space="preserve">▶ Intro to backend systems &amp; AI-augm…</t>
  </si>
  <si>
    <t xml:space="preserve">Commit to Git daily; build the capstone service incrementally</t>
  </si>
  <si>
    <t xml:space="preserve">• MVC, requests in Spring &amp; first microservice (AI integration)
• Calling 3rd-party APIs &amp; LLM/AI services
• Intro to Spring Data JPA
• JPA queries &amp; repositories</t>
  </si>
  <si>
    <t xml:space="preserve">📖 Git book</t>
  </si>
  <si>
    <t xml:space="preserve">▶ MVC, requests in Spring &amp; first mi…</t>
  </si>
  <si>
    <t xml:space="preserve">• Unit testing &amp; good practices (AI-assisted)
• AuthN vs AuthZ, OAuth2, JWT
• Implementing UserAuthService
• Deploying backend &amp; AI-enabled apps to AWS</t>
  </si>
  <si>
    <t xml:space="preserve">📖 JWT intro</t>
  </si>
  <si>
    <t xml:space="preserve">▶ Unit testing &amp; good practices (AI-…</t>
  </si>
  <si>
    <t xml:space="preserve">Commit to Git daily; build the capstone service incrementally
★ Milestone: Auth microservice deployed on AWS</t>
  </si>
  <si>
    <t xml:space="preserve">• RestTemplate, resilience &amp; handling failures
• UUIDs &amp; representing inheritance
• Mocking &amp; writing unit tests (incl. AI services)
• Advanced testing strategies</t>
  </si>
  <si>
    <t xml:space="preserve">📖 Spring Boot docs</t>
  </si>
  <si>
    <t xml:space="preserve">▶ RestTemplate, resilience &amp; handlin…</t>
  </si>
  <si>
    <t xml:space="preserve">Aim for &gt;70% unit-test coverage; document APIs (Swagger/Postman)</t>
  </si>
  <si>
    <t xml:space="preserve">Compressed from 6 wks (9-month plan)</t>
  </si>
  <si>
    <t xml:space="preserve">• JWT generation &amp; validation
• Authentication: implementing OAuth 2
• EBS, RDS, VPC, Security Groups, Route 53
• Search: paging, sorting &amp; intro to semantic search
• Payment microservice</t>
  </si>
  <si>
    <t xml:space="preserve">📖 Docker get started</t>
  </si>
  <si>
    <t xml:space="preserve">▶ JWT generation &amp; validation</t>
  </si>
  <si>
    <t xml:space="preserve">• Stripe PG &amp; reconciliation
• Optimising APIs with Redis &amp; Kafka (async &amp; AI workloads)
• Spring Cloud for distributed microservices &amp; AI services
• Spring Cloud: API gateway, load balancing, logging &amp; monitoring
• Docker for backend &amp; AI service deployment</t>
  </si>
  <si>
    <t xml:space="preserve">📖 AWS getting started</t>
  </si>
  <si>
    <t xml:space="preserve">▶ Stripe PG &amp; reconciliation</t>
  </si>
  <si>
    <t xml:space="preserve">Aim for &gt;70% unit-test coverage; document APIs (Swagger/Postman)
★ Milestone: Capstone with payments, caching &amp; Docker deployed</t>
  </si>
  <si>
    <t xml:space="preserve">• System design foundations &amp; modern infrastructure
• Load balancing, consistent hashing &amp; traffic routing
• Caching: CDN, backend caches, invalidation
• Case study: caching at scale (code judge, leaderboards, AI workloads)
• Case study: caching Facebook News Feed</t>
  </si>
  <si>
    <t xml:space="preserve">📖 System Design Primer</t>
  </si>
  <si>
    <t xml:space="preserve">▶ System design foundations &amp; modern…</t>
  </si>
  <si>
    <t xml:space="preserve">Design 1 system/week on paper in 45 min; estimate QPS, storage &amp; bandwidth</t>
  </si>
  <si>
    <t xml:space="preserve">• CAP / PACELC + master-slave replication
• SQL vs NoSQL + sharding
• Database orchestration &amp; shard creation
• Case study: Google Typeahead – approach
• Case study: Google Typeahead – design &amp; optimisations</t>
  </si>
  <si>
    <t xml:space="preserve">📖 High Scalability</t>
  </si>
  <si>
    <t xml:space="preserve">▶ CAP / PACELC + master-slave replic…</t>
  </si>
  <si>
    <t xml:space="preserve">• NoSQL internals: LSM tree &amp; multi-master
• Case study: messaging apps (Messenger, WhatsApp, Slack)
• Message queues: Kafka &amp; Zookeeper
• Case study: Elasticsearch (full-text search)
• Case study: S3, HDFS (large-file storage)</t>
  </si>
  <si>
    <t xml:space="preserve">📖 Kafka docs</t>
  </si>
  <si>
    <t xml:space="preserve">▶ LSM tree &amp; multi-master</t>
  </si>
  <si>
    <t xml:space="preserve">• Case study: Uber (nearest-neighbour search)
• Case study: rate limiter + unique-ID generator
• Case study: OTT platform
• Microservices 1 &amp; 2
• Case study: e-commerce platform</t>
  </si>
  <si>
    <t xml:space="preserve">▶ Uber (nearest-neighbour search)</t>
  </si>
  <si>
    <t xml:space="preserve">Design 1 system/week on paper in 45 min; estimate QPS, storage &amp; bandwidth
★ Milestone: 3 full HLD write-ups for your portfolio</t>
  </si>
  <si>
    <t xml:space="preserve">• DSA interview simulation: problem solving &amp; thinking under pressure</t>
  </si>
  <si>
    <t xml:space="preserve">▶ problem solving &amp; thinking under p…</t>
  </si>
  <si>
    <t xml:space="preserve">2 mock interviews/week (peer, Pramp or Scaler); polish resume &amp; LinkedIn</t>
  </si>
  <si>
    <t xml:space="preserve">• LLD interview simulation: structuring scalable solutions
• HLD interview simulation: designing systems &amp; communicating trade-offs</t>
  </si>
  <si>
    <t xml:space="preserve">📖 LeetCode</t>
  </si>
  <si>
    <t xml:space="preserve">▶ structuring scalable solutions</t>
  </si>
  <si>
    <t xml:space="preserve">2 mock interviews/week (peer, Pramp or Scaler); polish resume &amp; LinkedIn
★ Milestone: Offer-ready: resume, GitHub &amp; 3 mock interviews done</t>
  </si>
  <si>
    <t xml:space="preserve">No</t>
  </si>
  <si>
    <t xml:space="preserve">• Intro to LLMs for backend engineers &amp; prompt engineering for APIs</t>
  </si>
  <si>
    <t xml:space="preserve">📖 OpenAI docs</t>
  </si>
  <si>
    <t xml:space="preserve">▶ Intro to LLMs for backend engineer…</t>
  </si>
  <si>
    <t xml:space="preserve">Ship both AI projects with a public demo</t>
  </si>
  <si>
    <t xml:space="preserve">• Build BookMyShow chat agent 1, 2 &amp; 3</t>
  </si>
  <si>
    <t xml:space="preserve">📖 Anthropic docs</t>
  </si>
  <si>
    <t xml:space="preserve">▶ Build BookMyShow chat agent 1, 2 &amp;…</t>
  </si>
  <si>
    <t xml:space="preserve">• Build Splitwise AI receipt processor 1, 2 &amp; 3</t>
  </si>
  <si>
    <t xml:space="preserve">📖 LangChain docs</t>
  </si>
  <si>
    <t xml:space="preserve">▶ Build Splitwise AI receipt process…</t>
  </si>
  <si>
    <t xml:space="preserve">• Backend capstone project contest</t>
  </si>
  <si>
    <t xml:space="preserve">▶ Backend capstone project contest</t>
  </si>
  <si>
    <t xml:space="preserve">Ship both AI projects with a public demo
★ Milestone: Two deployed AI-enabled systems</t>
  </si>
  <si>
    <t xml:space="preserve">• Townhall + revision of DSA topics
• Maths: inverse mod &amp; problems</t>
  </si>
  <si>
    <t xml:space="preserve">▶ Townhall + revision of DSA topics</t>
  </si>
  <si>
    <t xml:space="preserve">10–12 hard problems/week; weekly full-length timed contest</t>
  </si>
  <si>
    <t xml:space="preserve">• Backtracking: famous problems
• Tries 1 (characters) &amp; Tries 2 (bits) + tree problems</t>
  </si>
  <si>
    <t xml:space="preserve">▶ famous problems</t>
  </si>
  <si>
    <t xml:space="preserve">• String pattern matching
• DP on strings &amp; famous DP problems</t>
  </si>
  <si>
    <t xml:space="preserve">▶ String pattern matching</t>
  </si>
  <si>
    <t xml:space="preserve">• Graphs: bipartite, Bellman-Ford &amp; Floyd-Warshall
• Advanced interview problems
• Mandatory full-syllabus contest + discussion</t>
  </si>
  <si>
    <t xml:space="preserve">▶ bipartite, Bellman-Ford &amp; Floyd-Wa…</t>
  </si>
  <si>
    <t xml:space="preserve">10–12 hard problems/week; weekly full-length timed contest
★ Milestone: Pass the full-syllabus contest</t>
  </si>
  <si>
    <t xml:space="preserve">• Intro to AI engineering
• Refresher: modern text &amp; image AI model architectures</t>
  </si>
  <si>
    <t xml:space="preserve">📖 Hugging Face learn</t>
  </si>
  <si>
    <t xml:space="preserve">▶ Intro to AI engineering</t>
  </si>
  <si>
    <t xml:space="preserve">Build one RAG app and one agent; write evals for both</t>
  </si>
  <si>
    <t xml:space="preserve">• Text generation &amp; LLM APIs (OpenAI API)
• Eval pipelines for AI apps &amp; observability
• Prompt engineering: introduction &amp; security</t>
  </si>
  <si>
    <t xml:space="preserve">▶ Text generation &amp; LLM APIs (OpenAI…</t>
  </si>
  <si>
    <t xml:space="preserve">• RAG introduction
• Embeddings deep dive
• Multimodal &amp; tabular RAG</t>
  </si>
  <si>
    <t xml:space="preserve">▶ RAG introduction</t>
  </si>
  <si>
    <t xml:space="preserve">• Agents: foundations &amp; planning
• Advanced agent concepts
• Agent frameworks &amp; protocols</t>
  </si>
  <si>
    <t xml:space="preserve">▶ foundations &amp; planning</t>
  </si>
  <si>
    <t xml:space="preserve">• Fine-tuning existing models
• Audio, image, video &amp; expression modalities
• Scaling AI applications</t>
  </si>
  <si>
    <t xml:space="preserve">▶ Fine-tuning existing models</t>
  </si>
  <si>
    <t xml:space="preserve">• Model quantization techniques
• Advanced fine-tuning techniques
• Dataset engineering &amp; inference optimisation</t>
  </si>
  <si>
    <t xml:space="preserve">▶ Model quantization techniques</t>
  </si>
  <si>
    <t xml:space="preserve">Build one RAG app and one agent; write evals for both
★ Milestone: RAG + agent app with eval pipeline</t>
  </si>
  <si>
    <t xml:space="preserve">• Intro to data engineering</t>
  </si>
  <si>
    <t xml:space="preserve">📖 Apache Spark docs</t>
  </si>
  <si>
    <t xml:space="preserve">▶ Intro to data engineering</t>
  </si>
  <si>
    <t xml:space="preserve">Build one batch and one streaming pipeline</t>
  </si>
  <si>
    <t xml:space="preserve">• Writing efficient queries 1 &amp; 2
• Intro to Hadoop, HDFS &amp; MapReduce</t>
  </si>
  <si>
    <t xml:space="preserve">📖 Apache Hive</t>
  </si>
  <si>
    <t xml:space="preserve">▶ Writing efficient queries 1 &amp; 2</t>
  </si>
  <si>
    <t xml:space="preserve">• Intro to Hive &amp; advanced Hive
• Basics of Spark &amp; Spark programming</t>
  </si>
  <si>
    <t xml:space="preserve">▶ Intro to Hive &amp; advanced Hive</t>
  </si>
  <si>
    <t xml:space="preserve">• Structured API: PySpark &amp; PySpark operations
• Intro to streaming, Spark streaming &amp; advanced streaming</t>
  </si>
  <si>
    <t xml:space="preserve">▶ PySpark &amp; PySpark operations</t>
  </si>
  <si>
    <t xml:space="preserve">• Additional streaming services: bringing it all together</t>
  </si>
  <si>
    <t xml:space="preserve">▶ bringing it all together</t>
  </si>
  <si>
    <t xml:space="preserve">• Modern data architectures &amp; AWS services for data engineering
• Data modelling</t>
  </si>
  <si>
    <t xml:space="preserve">▶ Modern data architectures &amp; AWS se…</t>
  </si>
  <si>
    <t xml:space="preserve">• Orchestrating data pipelines (2 sessions)
• Distributed coordination &amp; load balancing</t>
  </si>
  <si>
    <t xml:space="preserve">▶ Orchestrating data pipelines (2 se…</t>
  </si>
  <si>
    <t xml:space="preserve">• Data pillars
• Capstone</t>
  </si>
  <si>
    <t xml:space="preserve">▶ Data pillars</t>
  </si>
  <si>
    <t xml:space="preserve">Build one batch and one streaming pipeline
★ Milestone: Data-engineering capstone</t>
  </si>
  <si>
    <t xml:space="preserve">• Townhall: product management
• Intro to product management</t>
  </si>
  <si>
    <t xml:space="preserve">📖 Atlassian PM guide</t>
  </si>
  <si>
    <t xml:space="preserve">▶ product management</t>
  </si>
  <si>
    <t xml:space="preserve">Write a 1-page PRD for a feature of your own project</t>
  </si>
  <si>
    <t xml:space="preserve">• Understanding the product lifecycle 1 &amp; 2
• Critical thinking in product development 1 &amp; 2</t>
  </si>
  <si>
    <t xml:space="preserve">📖 Product School blog</t>
  </si>
  <si>
    <t xml:space="preserve">▶ Understanding the product lifecycl…</t>
  </si>
  <si>
    <t xml:space="preserve">• Market structure analysis &amp; its technical aspects 1 &amp; 2
• MVPs, prototyping &amp; growth hacking 1 &amp; 2</t>
  </si>
  <si>
    <t xml:space="preserve">📖 Mind the Product</t>
  </si>
  <si>
    <t xml:space="preserve">▶ Market structure analysis &amp; its te…</t>
  </si>
  <si>
    <t xml:space="preserve">• Concept development, validation &amp; the role of developers 1 &amp; 2
• Intro to product analytics</t>
  </si>
  <si>
    <t xml:space="preserve">▶ Concept development, validation &amp; …</t>
  </si>
  <si>
    <t xml:space="preserve">Write a 1-page PRD for a feature of your own project
★ Milestone: 1-page PRD</t>
  </si>
  <si>
    <t xml:space="preserve">9-Month Full-Stack Web Developer Plan – HTML/CSS · JS · React · Node/Mongo · SQL (39 weeks)</t>
  </si>
  <si>
    <t xml:space="preserve">Based on the Scaler Fullstack specialisation, enriched with Besant Technologies syllabus topics (Bootstrap, jQuery, MongoDB, Angular, PHP/Laravel).</t>
  </si>
  <si>
    <t xml:space="preserve">• How the web works: browsers, HTML, DevTools &amp; AI inspection
• Semantic HTML, forms &amp; structured user input
• CSS foundations: cascade, selectors, box model &amp; units
• Layout I: display, positioning &amp; Flexbox</t>
  </si>
  <si>
    <t xml:space="preserve">📖 MDN Learn Web Dev</t>
  </si>
  <si>
    <t xml:space="preserve">▶ browsers, HTML, DevTools &amp; AI insp…</t>
  </si>
  <si>
    <t xml:space="preserve">Rebuild 2 real landing pages pixel-perfect; make both responsive</t>
  </si>
  <si>
    <t xml:space="preserve">• Layout II: responsive design, media queries &amp; Grid
• CSS variables, transitions &amp; visual polish
• UI debugging: specificity, inheritance, stacking &amp; DevTools
• From design to code: AI-assisted UI build, review &amp; refinement
• HTML &amp; CSS certification contest</t>
  </si>
  <si>
    <t xml:space="preserve">📖 web.dev Learn CSS</t>
  </si>
  <si>
    <t xml:space="preserve">▶ responsive design, media queries &amp;…</t>
  </si>
  <si>
    <t xml:space="preserve">Rebuild 2 real landing pages pixel-perfect; make both responsive
★ Milestone: Responsive portfolio landing page</t>
  </si>
  <si>
    <t xml:space="preserve">• Introduction to Bootstrap &amp; basics
• Bootstrap grids
• Bootstrap themes
• Bootstrap CSS utilities
• Bootstrap JS components</t>
  </si>
  <si>
    <t xml:space="preserve">📖 Bootstrap docs</t>
  </si>
  <si>
    <t xml:space="preserve">▶ Introduction to Bootstrap &amp; basics</t>
  </si>
  <si>
    <t xml:space="preserve">Re-skin your landing page with Bootstrap
★ Milestone: Bootstrap dashboard layout</t>
  </si>
  <si>
    <t xml:space="preserve">Source: Besant syllabus</t>
  </si>
  <si>
    <t xml:space="preserve">• JS foundations: values, types, variables &amp; control flow
• Execution model: scope &amp; hoisting
• Closures, lexical scope &amp; persistent state</t>
  </si>
  <si>
    <t xml:space="preserve">📖 javascript.info</t>
  </si>
  <si>
    <t xml:space="preserve">▶ values, types, variables &amp; control…</t>
  </si>
  <si>
    <t xml:space="preserve">Daily 30-min JS drills (closures, promises, array HOFs); 2 machine-coding UIs/week</t>
  </si>
  <si>
    <t xml:space="preserve">• Runtime reasoning lab: predict output &amp; debug
• Functional JS: functions, callbacks &amp; higher-order
• Browser as a runtime: DOM &amp; browser APIs</t>
  </si>
  <si>
    <t xml:space="preserve">📖 MDN JavaScript</t>
  </si>
  <si>
    <t xml:space="preserve">▶ predict output &amp; debug</t>
  </si>
  <si>
    <t xml:space="preserve">• Event systems: user interaction &amp; handlers
• Product Lab I: real-time Weather App (JSON, APIs, async, rendering)
• Product Labs II–V: Kanban board (UI structure, DOM rendering, logic, localStorage, edge cases)</t>
  </si>
  <si>
    <t xml:space="preserve">📖 JS30 projects</t>
  </si>
  <si>
    <t xml:space="preserve">▶ user interaction &amp; handlers</t>
  </si>
  <si>
    <t xml:space="preserve">• Async I: callbacks, Web APIs &amp; non-blocking execution
• Async II: promises, microtasks &amp; chaining
• Async III: async/await &amp; error handling</t>
  </si>
  <si>
    <t xml:space="preserve">▶ callbacks, Web APIs &amp; non-blocking…</t>
  </si>
  <si>
    <t xml:space="preserve">• Async IV: promise combinators &amp; real-world patterns
• Async debugging lab: race conditions &amp; failure states
• Browser event flow: bubbling, capturing &amp; propagation</t>
  </si>
  <si>
    <t xml:space="preserve">▶ promise combinators &amp; real-world p…</t>
  </si>
  <si>
    <t xml:space="preserve">• Interaction patterns: event delegation &amp; machine coding
• Performance patterns: debouncing &amp; throttling
• Object model I: this, method context &amp; invocation
• JS certification contest</t>
  </si>
  <si>
    <t xml:space="preserve">▶ event delegation &amp; machine coding</t>
  </si>
  <si>
    <t xml:space="preserve">Daily 30-min JS drills (closures, promises, array HOFs); 2 machine-coding UIs/week
★ Milestone: Weather App + Kanban board live</t>
  </si>
  <si>
    <t xml:space="preserve">• Object model II: classes, constructors &amp; OO modelling
• Object model III: prototypes, inheritance &amp; reusable behaviour</t>
  </si>
  <si>
    <t xml:space="preserve">📖 javascript.info prototypes</t>
  </si>
  <si>
    <t xml:space="preserve">▶ classes, constructors &amp; OO modelli…</t>
  </si>
  <si>
    <t xml:space="preserve">Write polyfills for map/filter/reduce/bind/Promise.all from scratch</t>
  </si>
  <si>
    <t xml:space="preserve">• Engineering lab: call, apply, bind &amp; polyfill thinking
• Polyfills lab: higher-order methods
• Data handling lab: deep copy, shallow copy &amp; reference behaviour</t>
  </si>
  <si>
    <t xml:space="preserve">📖 javascript.info classes</t>
  </si>
  <si>
    <t xml:space="preserve">▶ call, apply, bind &amp; polyfill think…</t>
  </si>
  <si>
    <t xml:space="preserve">Write polyfills for map/filter/reduce/bind/Promise.all from scratch
★ Milestone: Own mini-utility library (lodash-style)</t>
  </si>
  <si>
    <t xml:space="preserve">• Intro to jQuery &amp; syntax
• jQuery selectors
• jQuery events &amp; effects
• jQuery HTML &amp; traversing
• jQuery AJAX &amp; misc</t>
  </si>
  <si>
    <t xml:space="preserve">📖 jQuery Learning Center</t>
  </si>
  <si>
    <t xml:space="preserve">▶ Intro to jQuery &amp; syntax</t>
  </si>
  <si>
    <t xml:space="preserve">Only needed for maintaining older codebases
★ Milestone: Convert one jQuery snippet to vanilla JS</t>
  </si>
  <si>
    <t xml:space="preserve">• React foundations: components, JSX &amp; thinking in UI trees
• React tooling &amp; TypeScript setup: build tools, JSX, TS basics &amp; project structure
• Props, lists, forms &amp; typed component composition</t>
  </si>
  <si>
    <t xml:space="preserve">📖 React docs (react.dev)</t>
  </si>
  <si>
    <t xml:space="preserve">▶ components, JSX &amp; thinking in UI t…</t>
  </si>
  <si>
    <t xml:space="preserve">Build every lab from an empty folder; deploy to Netlify/Vercel</t>
  </si>
  <si>
    <t xml:space="preserve">• State, events &amp; interactive UI
• Lifting state up, useEffect &amp; data flow
• Product Lab 1: IMDB app – setup, routing &amp; frontend structure</t>
  </si>
  <si>
    <t xml:space="preserve">📖 Redux essentials</t>
  </si>
  <si>
    <t xml:space="preserve">▶ State, events &amp; interactive UI</t>
  </si>
  <si>
    <t xml:space="preserve">• Product Lab 2: IMDB app – movies page, pagination &amp; data rendering
• Product Lab 3: IMDB app – API integration, watchlist &amp; localStorage
• Product Lab 4: IMDB app – search, sorting, filtering &amp; shared state</t>
  </si>
  <si>
    <t xml:space="preserve">📖 React Router</t>
  </si>
  <si>
    <t xml:space="preserve">▶ IMDB app – movies page, pagination…</t>
  </si>
  <si>
    <t xml:space="preserve">• Context API, state sharing &amp; component communication
• Redux foundations: store design, actions &amp; predictable state
• Redux integration lab: product-scale state management
• React certification contest</t>
  </si>
  <si>
    <t xml:space="preserve">▶ Context API, state sharing &amp; compo…</t>
  </si>
  <si>
    <t xml:space="preserve">Build every lab from an empty folder; deploy to Netlify/Vercel
★ Milestone: IMDB app deployed</t>
  </si>
  <si>
    <t xml:space="preserve">• Backend foundations: Node.js, APIs, Express &amp; service thinking
• REST endpoints: GET/POST/PUT/DELETE tested with Postman; build a Genres API
• Data systems: MongoDB, Mongoose, schema design &amp; SQL vs NoSQL</t>
  </si>
  <si>
    <t xml:space="preserve">📖 Node.js learn</t>
  </si>
  <si>
    <t xml:space="preserve">▶ Node.js, APIs, Express &amp; service t…</t>
  </si>
  <si>
    <t xml:space="preserve">Test every endpoint in Postman; add 1 new endpoint/day beyond the labs</t>
  </si>
  <si>
    <t xml:space="preserve">• MongoDB: filters, indexing, aggregation, schema validation &amp; embedded documents
• Middleware, validation &amp; MVC structure; Express advanced topics (config, debugging, structuring apps)
• Product Lab 1: architecture, domain modelling &amp; project setup
• Product Lab 2: authentication, authorization &amp; role-based access</t>
  </si>
  <si>
    <t xml:space="preserve">📖 Express docs</t>
  </si>
  <si>
    <t xml:space="preserve">▶ filters, indexing, aggregation, sc…</t>
  </si>
  <si>
    <t xml:space="preserve">• Product Lab 3: protected routes, tokens &amp; session-aware flows (JWT)
• Product Lab 4: movies, theatres &amp; show APIs
• Product Lab 5: partner workflows, admin approval &amp; moderation
• Product Lab 6: booking flow, seat management &amp; transaction safety</t>
  </si>
  <si>
    <t xml:space="preserve">📖 Mongoose docs</t>
  </si>
  <si>
    <t xml:space="preserve">▶ protected routes, tokens &amp; session…</t>
  </si>
  <si>
    <t xml:space="preserve">• Product Lab 7: payments, ticket generation &amp; order lifecycle (payment gateway)
• Product Lab 8: email workflows, password reset &amp; user communication
• Realtime backend: WebSockets, live updates &amp; event-driven flows
• MERN certification contest</t>
  </si>
  <si>
    <t xml:space="preserve">▶ payments, ticket generation &amp; orde…</t>
  </si>
  <si>
    <t xml:space="preserve">Test every endpoint in Postman; add 1 new endpoint/day beyond the labs
★ Milestone: Booking-platform API deployed</t>
  </si>
  <si>
    <t xml:space="preserve">• Intro to DBMS &amp; keys
• CRUD operations 1 &amp; 2</t>
  </si>
  <si>
    <t xml:space="preserve">10 SQL problems/week; compare one feature in SQL vs MongoDB</t>
  </si>
  <si>
    <t xml:space="preserve">• Joins &amp; aggregate queries
• Subqueries &amp; views</t>
  </si>
  <si>
    <t xml:space="preserve">▶ Joins &amp; aggregate queries</t>
  </si>
  <si>
    <t xml:space="preserve">• Indexing &amp; transactions
• Window functions</t>
  </si>
  <si>
    <t xml:space="preserve">📖 Mode SQL tutorial</t>
  </si>
  <si>
    <t xml:space="preserve">▶ Indexing &amp; transactions</t>
  </si>
  <si>
    <t xml:space="preserve">• Schema design 1 &amp; 2
• Contest: SQL &amp; schema design</t>
  </si>
  <si>
    <t xml:space="preserve">▶ Schema design 1 &amp; 2</t>
  </si>
  <si>
    <t xml:space="preserve">10 SQL problems/week; compare one feature in SQL vs MongoDB
★ Milestone: Pass the SQL contest</t>
  </si>
  <si>
    <t xml:space="preserve">• Backend quality lab: API testing, debugging &amp; error handling
• Backend security lab: validation, auth hardening, abuse prevention &amp; safe defaults
• Production readiness: environments, deployment, logging &amp; Docker basics</t>
  </si>
  <si>
    <t xml:space="preserve">📖 OWASP Top Ten</t>
  </si>
  <si>
    <t xml:space="preserve">▶ API testing, debugging &amp; error han…</t>
  </si>
  <si>
    <t xml:space="preserve">Add tests, rate limiting &amp; Dockerfile to your MERN API</t>
  </si>
  <si>
    <t xml:space="preserve">• Scalability lab: caching, queues, background jobs &amp; data-flow trade-offs
• AI feature integration lab: LLM APIs, structured responses &amp; orchestration
• Architecture &amp; interview lab: backend design, trade-offs &amp; AI-assisted review</t>
  </si>
  <si>
    <t xml:space="preserve">▶ caching, queues, background jobs &amp;…</t>
  </si>
  <si>
    <t xml:space="preserve">Add tests, rate limiting &amp; Dockerfile to your MERN API
★ Milestone: Dockerised, tested API</t>
  </si>
  <si>
    <t xml:space="preserve">• TypeScript foundations for JS developers
• Advanced hooks: useRef, useMemo, useCallback &amp; useReducer</t>
  </si>
  <si>
    <t xml:space="preserve">📖 TypeScript handbook</t>
  </si>
  <si>
    <t xml:space="preserve">▶ TypeScript foundations for JS deve…</t>
  </si>
  <si>
    <t xml:space="preserve">Convert one earlier React project to TypeScript; add Next.js SSR/SSG pages</t>
  </si>
  <si>
    <t xml:space="preserve">• Custom hooks &amp; reusable logic patterns
• React performance lab: rendering &amp; memoization
• Machine-coding lab: component design, state design &amp; real UI problems</t>
  </si>
  <si>
    <t xml:space="preserve">📖 Next.js Learn</t>
  </si>
  <si>
    <t xml:space="preserve">▶ Custom hooks &amp; reusable logic patt…</t>
  </si>
  <si>
    <t xml:space="preserve">• Architecture studio: patterns, state trade-offs &amp; AI-assisted review
• Next.js foundations: App Router, layouts &amp; modern React delivery
• Next.js data fetching: server/client components, rendering strategy &amp; SEO</t>
  </si>
  <si>
    <t xml:space="preserve">📖 React docs: hooks</t>
  </si>
  <si>
    <t xml:space="preserve">▶ patterns, state trade-offs &amp; AI-as…</t>
  </si>
  <si>
    <t xml:space="preserve">• Next.js product lab: forms, route handlers, auth flow &amp; deployment
• Advanced React systems: Fiber, concurrent rendering, Suspense, lazy loading &amp; error boundaries
• React interview &amp; frontend reasoning lab</t>
  </si>
  <si>
    <t xml:space="preserve">▶ forms, route handlers, auth flow &amp;…</t>
  </si>
  <si>
    <t xml:space="preserve">Convert one earlier React project to TypeScript; add Next.js SSR/SSG pages
★ Milestone: Next.js app with auth deployed</t>
  </si>
  <si>
    <t xml:space="preserve">• Full-stack development in the age of AI
• AI coding tools for full-stack builders
• Prompting for UI, logic, APIs &amp; debugging</t>
  </si>
  <si>
    <t xml:space="preserve">▶ Full-stack development in the age …</t>
  </si>
  <si>
    <t xml:space="preserve">Build a small feature with AI help, then review it line by line</t>
  </si>
  <si>
    <t xml:space="preserve">• Reviewing &amp; validating AI-generated full-stack code
• From screen to server: AI-assisted workflows
• Building faster without losing fundamentals</t>
  </si>
  <si>
    <t xml:space="preserve">▶ Reviewing &amp; validating AI-generate…</t>
  </si>
  <si>
    <t xml:space="preserve">Build a small feature with AI help, then review it line by line
★ Milestone: AI-assisted workflow checklist</t>
  </si>
  <si>
    <t xml:space="preserve">• Scope, wireframes &amp; data model</t>
  </si>
  <si>
    <t xml:space="preserve">📖 GitHub docs</t>
  </si>
  <si>
    <t xml:space="preserve">▶ Scope, wireframes &amp; data model</t>
  </si>
  <si>
    <t xml:space="preserve">Pick an original idea (not a tutorial clone); commit daily</t>
  </si>
  <si>
    <t xml:space="preserve">Source: Suggested (not in sources)</t>
  </si>
  <si>
    <t xml:space="preserve">• Build UI + authentication
• Build APIs &amp; connect frontend</t>
  </si>
  <si>
    <t xml:space="preserve">📖 Vercel docs</t>
  </si>
  <si>
    <t xml:space="preserve">▶ Build UI + authentication</t>
  </si>
  <si>
    <t xml:space="preserve">• Add one AI feature (LLM API)
• Testing, deployment, README &amp; demo video</t>
  </si>
  <si>
    <t xml:space="preserve">📖 Render docs</t>
  </si>
  <si>
    <t xml:space="preserve">▶ Add one AI feature (LLM API)</t>
  </si>
  <si>
    <t xml:space="preserve">Pick an original idea (not a tutorial clone); commit daily
★ Milestone: Public GitHub repo + live demo + 2-min demo video</t>
  </si>
  <si>
    <t xml:space="preserve">• Time complexity
• Arrays: prefix sum &amp; carry forward</t>
  </si>
  <si>
    <t xml:space="preserve">5–6 problems/week; start in parallel from the JavaScript phase if you can (30–45 min/day)</t>
  </si>
  <si>
    <t xml:space="preserve">• Array techniques &amp; smart prompting
• Memory management &amp; sorting basics</t>
  </si>
  <si>
    <t xml:space="preserve">▶ Array techniques &amp; smart prompting</t>
  </si>
  <si>
    <t xml:space="preserve">• Bit manipulation basics
• 2D matrices</t>
  </si>
  <si>
    <t xml:space="preserve">▶ Bit manipulation basics</t>
  </si>
  <si>
    <t xml:space="preserve">• Strings &amp; immutability
• Contest</t>
  </si>
  <si>
    <t xml:space="preserve">▶ Strings &amp; immutability</t>
  </si>
  <si>
    <t xml:space="preserve">5–6 problems/week; start in parallel from the JavaScript phase if you can (30–45 min/day)
★ Milestone: Pass the module contest</t>
  </si>
  <si>
    <t xml:space="preserve">• DSA interview simulation</t>
  </si>
  <si>
    <t xml:space="preserve">▶ DSA interview simulation</t>
  </si>
  <si>
    <t xml:space="preserve">2 mock interviews/week; polish resume, portfolio &amp; LinkedIn</t>
  </si>
  <si>
    <t xml:space="preserve">• LLD / machine-coding simulation (frontend focus)
• HLD simulation: designing systems &amp; communicating trade-offs</t>
  </si>
  <si>
    <t xml:space="preserve">▶ LLD / machine-coding simulation (f…</t>
  </si>
  <si>
    <t xml:space="preserve">2 mock interviews/week; polish resume, portfolio &amp; LinkedIn
★ Milestone: Offer-ready portfolio</t>
  </si>
  <si>
    <t xml:space="preserve">• Core techniques: arrays, bits, recursion, hashing &amp; sorting</t>
  </si>
  <si>
    <t xml:space="preserve">▶ arrays, bits, recursion, hashing &amp;…</t>
  </si>
  <si>
    <t xml:space="preserve">Choose this if targeting product-based companies</t>
  </si>
  <si>
    <t xml:space="preserve">• Linear &amp; non-linear structures: searching, linked list, stacks, queues &amp; trees</t>
  </si>
  <si>
    <t xml:space="preserve">▶ searching, linked list, stacks, qu…</t>
  </si>
  <si>
    <t xml:space="preserve">• Backtracking, maths &amp; advanced trees</t>
  </si>
  <si>
    <t xml:space="preserve">▶ Backtracking, maths &amp; advanced tre…</t>
  </si>
  <si>
    <t xml:space="preserve">• Heaps, greedy, DP &amp; graphs</t>
  </si>
  <si>
    <t xml:space="preserve">▶ Heaps, greedy, DP &amp; graphs</t>
  </si>
  <si>
    <t xml:space="preserve">Choose this if targeting product-based companies
★ Milestone: Pass the DSA Skill Evaluation Test</t>
  </si>
  <si>
    <t xml:space="preserve">• Foundations &amp; modern infrastructure</t>
  </si>
  <si>
    <t xml:space="preserve">▶ Foundations &amp; modern infrastructur…</t>
  </si>
  <si>
    <t xml:space="preserve">Design 1 system/week on paper</t>
  </si>
  <si>
    <t xml:space="preserve">• Load balancing &amp; consistent hashing</t>
  </si>
  <si>
    <t xml:space="preserve">▶ Load balancing &amp; consistent hashin…</t>
  </si>
  <si>
    <t xml:space="preserve">• Caching &amp; CDN</t>
  </si>
  <si>
    <t xml:space="preserve">▶ Caching &amp; CDN</t>
  </si>
  <si>
    <t xml:space="preserve">• Replication, CAP &amp; sharding</t>
  </si>
  <si>
    <t xml:space="preserve">▶ Replication, CAP &amp; sharding</t>
  </si>
  <si>
    <t xml:space="preserve">• Messaging queues (Kafka) &amp; microservices</t>
  </si>
  <si>
    <t xml:space="preserve">▶ Messaging queues (Kafka) &amp; microse…</t>
  </si>
  <si>
    <t xml:space="preserve">• Case studies: Typeahead, messaging, Uber, e-commerce</t>
  </si>
  <si>
    <t xml:space="preserve">▶ Typeahead, messaging, Uber, e-comm…</t>
  </si>
  <si>
    <t xml:space="preserve">Design 1 system/week on paper
★ Milestone: 3 HLD write-ups</t>
  </si>
  <si>
    <t xml:space="preserve">• Intro to Angular &amp; application architecture</t>
  </si>
  <si>
    <t xml:space="preserve">📖 Angular tutorials</t>
  </si>
  <si>
    <t xml:space="preserve">▶ Intro to Angular &amp; application arc…</t>
  </si>
  <si>
    <t xml:space="preserve">Only if your target employers use Angular</t>
  </si>
  <si>
    <t xml:space="preserve">• NgModules &amp; components
• Templates, data binding &amp; directives</t>
  </si>
  <si>
    <t xml:space="preserve">📖 Angular docs</t>
  </si>
  <si>
    <t xml:space="preserve">▶ NgModules &amp; components</t>
  </si>
  <si>
    <t xml:space="preserve">• Template routing &amp; forms
• Services &amp; dependency injection</t>
  </si>
  <si>
    <t xml:space="preserve">▶ Template routing &amp; forms</t>
  </si>
  <si>
    <t xml:space="preserve">• Server communication (GET/POST/PUT/DELETE)
• Complete web app in Angular</t>
  </si>
  <si>
    <t xml:space="preserve">▶ Server communication (GET/POST/PUT…</t>
  </si>
  <si>
    <t xml:space="preserve">Only if your target employers use Angular
★ Milestone: Angular CRUD app</t>
  </si>
  <si>
    <t xml:space="preserve">• PHP crash course &amp; embedding PHP in HTML</t>
  </si>
  <si>
    <t xml:space="preserve">📖 PHP manual</t>
  </si>
  <si>
    <t xml:space="preserve">▶ PHP crash course &amp; embedding PHP i…</t>
  </si>
  <si>
    <t xml:space="preserve">Only if targeting PHP/WordPress/Laravel roles</t>
  </si>
  <si>
    <t xml:space="preserve">• Storing &amp; retrieving data; arrays
• String manipulation &amp; regular expressions</t>
  </si>
  <si>
    <t xml:space="preserve">📖 Laravel docs</t>
  </si>
  <si>
    <t xml:space="preserve">▶ Storing &amp; retrieving data; arrays</t>
  </si>
  <si>
    <t xml:space="preserve">• Reusing code &amp; writing functions</t>
  </si>
  <si>
    <t xml:space="preserve">📖 MySQL docs</t>
  </si>
  <si>
    <t xml:space="preserve">▶ Reusing code &amp; writing functions</t>
  </si>
  <si>
    <t xml:space="preserve">• Object-oriented PHP
• MVC with Laravel: forms, controllers, Blade, migrations, Eloquent ORM</t>
  </si>
  <si>
    <t xml:space="preserve">▶ Object-oriented PHP</t>
  </si>
  <si>
    <t xml:space="preserve">• Designing &amp; creating your web database in MySQL</t>
  </si>
  <si>
    <t xml:space="preserve">▶ Designing &amp; creating your web data…</t>
  </si>
  <si>
    <t xml:space="preserve">• Accessing MySQL from the web with PHP
• Build a complete Laravel app</t>
  </si>
  <si>
    <t xml:space="preserve">▶ Accessing MySQL from the web with …</t>
  </si>
  <si>
    <t xml:space="preserve">Only if targeting PHP/WordPress/Laravel roles
★ Milestone: Laravel CRUD app</t>
  </si>
  <si>
    <t xml:space="preserve">Module Summary – live roll-up from both plans</t>
  </si>
  <si>
    <t xml:space="preserve">All figures are formulas driven by the Include? and Status columns of the plan sheets.</t>
  </si>
  <si>
    <t xml:space="preserve">Weeks planned</t>
  </si>
  <si>
    <t xml:space="preserve">Weeks done</t>
  </si>
  <si>
    <t xml:space="preserve">% done</t>
  </si>
  <si>
    <t xml:space="preserve">Start</t>
  </si>
  <si>
    <t xml:space="preserve">Finish</t>
  </si>
  <si>
    <t xml:space="preserve">Hours planned</t>
  </si>
  <si>
    <t xml:space="preserve">Where to Read &amp; Watch – resource hub</t>
  </si>
  <si>
    <t xml:space="preserve">Docs/tutorial links are official or widely used references. YouTube links are search links (always valid) – channel names are suggestions; pick the playlist whose style suits you.</t>
  </si>
  <si>
    <t xml:space="preserve">📖 Read #1</t>
  </si>
  <si>
    <t xml:space="preserve">📖 Read #2</t>
  </si>
  <si>
    <t xml:space="preserve">📖 Read #3</t>
  </si>
  <si>
    <t xml:space="preserve">▶ YouTube search</t>
  </si>
  <si>
    <t xml:space="preserve">Channels to try</t>
  </si>
  <si>
    <t xml:space="preserve">freeCodeCamp Learn</t>
  </si>
  <si>
    <t xml:space="preserve">Java tutorials (dev.java)</t>
  </si>
  <si>
    <t xml:space="preserve">GeeksforGeeks</t>
  </si>
  <si>
    <t xml:space="preserve">▶ programming loops conditions for beginners tutorial</t>
  </si>
  <si>
    <t xml:space="preserve">freeCodeCamp.org, Apna College, CodeWithHarry</t>
  </si>
  <si>
    <t xml:space="preserve">▶ programming functions arrays strings tutorial</t>
  </si>
  <si>
    <t xml:space="preserve">SDE + Full-Stack</t>
  </si>
  <si>
    <t xml:space="preserve">NeetCode roadmap</t>
  </si>
  <si>
    <t xml:space="preserve">GeeksforGeeks DSA</t>
  </si>
  <si>
    <t xml:space="preserve">LeetCode problems</t>
  </si>
  <si>
    <t xml:space="preserve">▶ DSA arrays prefix sum tutorial</t>
  </si>
  <si>
    <t xml:space="preserve">Striver (take U forward), NeetCode, Apna College</t>
  </si>
  <si>
    <t xml:space="preserve">n8n docs</t>
  </si>
  <si>
    <t xml:space="preserve">Prompt engineering guide (Anthropic)</t>
  </si>
  <si>
    <t xml:space="preserve">OpenAI prompt engineering</t>
  </si>
  <si>
    <t xml:space="preserve">▶ AI agents n8n RAG prompt engineering tutorial</t>
  </si>
  <si>
    <t xml:space="preserve">freeCodeCamp.org, Fireship, Andrej Karpathy</t>
  </si>
  <si>
    <t xml:space="preserve">CP-Algorithms</t>
  </si>
  <si>
    <t xml:space="preserve">▶ DSA tutorial</t>
  </si>
  <si>
    <t xml:space="preserve">Striver (take U forward), Abdul Bari, NeetCode</t>
  </si>
  <si>
    <t xml:space="preserve">Striver (take U forward), William Fiset, NeetCode</t>
  </si>
  <si>
    <t xml:space="preserve">SQLBolt interactive</t>
  </si>
  <si>
    <t xml:space="preserve">W3Schools SQL</t>
  </si>
  <si>
    <t xml:space="preserve">Mode SQL tutorial</t>
  </si>
  <si>
    <t xml:space="preserve">▶ SQL tutorial</t>
  </si>
  <si>
    <t xml:space="preserve">freeCodeCamp.org, Alex The Analyst, CodeWithHarry</t>
  </si>
  <si>
    <t xml:space="preserve">Oracle: Java concurrency</t>
  </si>
  <si>
    <t xml:space="preserve">Refactoring Guru</t>
  </si>
  <si>
    <t xml:space="preserve">▶ Java tutorial</t>
  </si>
  <si>
    <t xml:space="preserve">Telusko, Kunal Kushwaha, Java Brains</t>
  </si>
  <si>
    <t xml:space="preserve">Refactoring Guru patterns</t>
  </si>
  <si>
    <t xml:space="preserve">Refactoring Guru SOLID</t>
  </si>
  <si>
    <t xml:space="preserve">UML basics (Visual Paradigm)</t>
  </si>
  <si>
    <t xml:space="preserve">▶ design patterns SOLID tutorial</t>
  </si>
  <si>
    <t xml:space="preserve">Christopher Okhravi, Concept &amp;&amp; Coding, Telusko</t>
  </si>
  <si>
    <t xml:space="preserve">InterviewBit</t>
  </si>
  <si>
    <t xml:space="preserve">▶ low level design machine coding tutorial</t>
  </si>
  <si>
    <t xml:space="preserve">Concept &amp;&amp; Coding, Tushar Roy</t>
  </si>
  <si>
    <t xml:space="preserve">Spring guides</t>
  </si>
  <si>
    <t xml:space="preserve">Git book</t>
  </si>
  <si>
    <t xml:space="preserve">JWT intro</t>
  </si>
  <si>
    <t xml:space="preserve">▶ Spring Boot tutorial</t>
  </si>
  <si>
    <t xml:space="preserve">Amigoscode, Telusko, Java Brains</t>
  </si>
  <si>
    <t xml:space="preserve">Spring Boot docs</t>
  </si>
  <si>
    <t xml:space="preserve">Docker get started</t>
  </si>
  <si>
    <t xml:space="preserve">AWS getting started</t>
  </si>
  <si>
    <t xml:space="preserve">▶ Spring Boot microservices tutorial</t>
  </si>
  <si>
    <t xml:space="preserve">Amigoscode, Java Brains, TechWorld with Nana</t>
  </si>
  <si>
    <t xml:space="preserve">System Design Primer</t>
  </si>
  <si>
    <t xml:space="preserve">High Scalability</t>
  </si>
  <si>
    <t xml:space="preserve">Kafka docs</t>
  </si>
  <si>
    <t xml:space="preserve">▶ system design tutorial</t>
  </si>
  <si>
    <t xml:space="preserve">Gaurav Sen, ByteByteGo, Hussein Nasser</t>
  </si>
  <si>
    <t xml:space="preserve">LeetCode</t>
  </si>
  <si>
    <t xml:space="preserve">▶ coding interview mock tutorial</t>
  </si>
  <si>
    <t xml:space="preserve">Gaurav Sen, NeetCode, Tech Dummies</t>
  </si>
  <si>
    <t xml:space="preserve">OpenAI docs</t>
  </si>
  <si>
    <t xml:space="preserve">Anthropic docs</t>
  </si>
  <si>
    <t xml:space="preserve">LangChain docs</t>
  </si>
  <si>
    <t xml:space="preserve">▶ LLM API backend tutorial</t>
  </si>
  <si>
    <t xml:space="preserve">freeCodeCamp.org, Fireship</t>
  </si>
  <si>
    <t xml:space="preserve">▶ advanced DSA tries graphs DP tutorial</t>
  </si>
  <si>
    <t xml:space="preserve">Striver (take U forward), William Fiset</t>
  </si>
  <si>
    <t xml:space="preserve">Hugging Face learn</t>
  </si>
  <si>
    <t xml:space="preserve">▶ generative AI RAG agents tutorial</t>
  </si>
  <si>
    <t xml:space="preserve">Andrej Karpathy, freeCodeCamp.org, DeepLearning.AI</t>
  </si>
  <si>
    <t xml:space="preserve">Apache Spark docs</t>
  </si>
  <si>
    <t xml:space="preserve">Apache Hive</t>
  </si>
  <si>
    <t xml:space="preserve">▶ data engineering Spark tutorial</t>
  </si>
  <si>
    <t xml:space="preserve">Darshil Parmar, Seattle Data Guy, freeCodeCamp.org</t>
  </si>
  <si>
    <t xml:space="preserve">Atlassian PM guide</t>
  </si>
  <si>
    <t xml:space="preserve">Product School blog</t>
  </si>
  <si>
    <t xml:space="preserve">Mind the Product</t>
  </si>
  <si>
    <t xml:space="preserve">▶ product management tutorial</t>
  </si>
  <si>
    <t xml:space="preserve">Product School, Lenny Rachitsky</t>
  </si>
  <si>
    <t xml:space="preserve">MDN Learn Web Dev</t>
  </si>
  <si>
    <t xml:space="preserve">web.dev Learn CSS</t>
  </si>
  <si>
    <t xml:space="preserve">web.dev Learn HTML</t>
  </si>
  <si>
    <t xml:space="preserve">▶ HTML CSS tutorial</t>
  </si>
  <si>
    <t xml:space="preserve">freeCodeCamp.org, Kevin Powell, Traversy Media</t>
  </si>
  <si>
    <t xml:space="preserve">Bootstrap docs</t>
  </si>
  <si>
    <t xml:space="preserve">MDN CSS grid</t>
  </si>
  <si>
    <t xml:space="preserve">Bootstrap examples</t>
  </si>
  <si>
    <t xml:space="preserve">▶ Bootstrap 5 tutorial</t>
  </si>
  <si>
    <t xml:space="preserve">Traversy Media, freeCodeCamp.org</t>
  </si>
  <si>
    <t xml:space="preserve">javascript.info</t>
  </si>
  <si>
    <t xml:space="preserve">MDN JavaScript</t>
  </si>
  <si>
    <t xml:space="preserve">JS30 projects</t>
  </si>
  <si>
    <t xml:space="preserve">▶ JavaScript tutorial</t>
  </si>
  <si>
    <t xml:space="preserve">Akshay Saini (Namaste JavaScript), Web Dev Simplified, Hitesh Choudhary</t>
  </si>
  <si>
    <t xml:space="preserve">javascript.info prototypes</t>
  </si>
  <si>
    <t xml:space="preserve">javascript.info classes</t>
  </si>
  <si>
    <t xml:space="preserve">MDN: Inheritance &amp; prototype chain</t>
  </si>
  <si>
    <t xml:space="preserve">▶ JavaScript prototypes this bind polyfill tutorial</t>
  </si>
  <si>
    <t xml:space="preserve">Akshay Saini, Web Dev Simplified, Fireship</t>
  </si>
  <si>
    <t xml:space="preserve">jQuery Learning Center</t>
  </si>
  <si>
    <t xml:space="preserve">jQuery API docs</t>
  </si>
  <si>
    <t xml:space="preserve">MDN: DOM</t>
  </si>
  <si>
    <t xml:space="preserve">▶ jQuery tutorial</t>
  </si>
  <si>
    <t xml:space="preserve">React docs (react.dev)</t>
  </si>
  <si>
    <t xml:space="preserve">Redux essentials</t>
  </si>
  <si>
    <t xml:space="preserve">React Router</t>
  </si>
  <si>
    <t xml:space="preserve">▶ React tutorial</t>
  </si>
  <si>
    <t xml:space="preserve">Codevolution, Web Dev Simplified, freeCodeCamp.org</t>
  </si>
  <si>
    <t xml:space="preserve">Node.js learn</t>
  </si>
  <si>
    <t xml:space="preserve">Express docs</t>
  </si>
  <si>
    <t xml:space="preserve">Mongoose docs</t>
  </si>
  <si>
    <t xml:space="preserve">▶ Node Express MongoDB tutorial</t>
  </si>
  <si>
    <t xml:space="preserve">Traversy Media, freeCodeCamp.org, Hitesh Choudhary</t>
  </si>
  <si>
    <t xml:space="preserve">OWASP Top Ten</t>
  </si>
  <si>
    <t xml:space="preserve">MongoDB manual</t>
  </si>
  <si>
    <t xml:space="preserve">▶ Node.js backend security testing Docker tutorial</t>
  </si>
  <si>
    <t xml:space="preserve">Hussein Nasser, TechWorld with Nana, Fireship</t>
  </si>
  <si>
    <t xml:space="preserve">TypeScript handbook</t>
  </si>
  <si>
    <t xml:space="preserve">Next.js Learn</t>
  </si>
  <si>
    <t xml:space="preserve">React docs: hooks</t>
  </si>
  <si>
    <t xml:space="preserve">▶ React TypeScript Next.js tutorial</t>
  </si>
  <si>
    <t xml:space="preserve">Jack Herrington, Codevolution, Theo, Fireship</t>
  </si>
  <si>
    <t xml:space="preserve">GitHub Copilot docs</t>
  </si>
  <si>
    <t xml:space="preserve">▶ AI coding assistant full stack tutorial</t>
  </si>
  <si>
    <t xml:space="preserve">Fireship, freeCodeCamp.org</t>
  </si>
  <si>
    <t xml:space="preserve">GitHub docs</t>
  </si>
  <si>
    <t xml:space="preserve">Vercel docs</t>
  </si>
  <si>
    <t xml:space="preserve">Render docs</t>
  </si>
  <si>
    <t xml:space="preserve">▶ full stack project deploy tutorial</t>
  </si>
  <si>
    <t xml:space="preserve">freeCodeCamp.org, Traversy Media</t>
  </si>
  <si>
    <t xml:space="preserve">Striver (take U forward), NeetCode</t>
  </si>
  <si>
    <t xml:space="preserve">Gaurav Sen, ByteByteGo</t>
  </si>
  <si>
    <t xml:space="preserve">Angular tutorials</t>
  </si>
  <si>
    <t xml:space="preserve">Angular docs</t>
  </si>
  <si>
    <t xml:space="preserve">▶ Angular tutorial</t>
  </si>
  <si>
    <t xml:space="preserve">Fireship, Programming with Mosh, Academind</t>
  </si>
  <si>
    <t xml:space="preserve">PHP manual</t>
  </si>
  <si>
    <t xml:space="preserve">Laravel docs</t>
  </si>
  <si>
    <t xml:space="preserve">MySQL docs</t>
  </si>
  <si>
    <t xml:space="preserve">▶ PHP Laravel tutorial</t>
  </si>
  <si>
    <t xml:space="preserve">Traversy Media, Laravel Daily, freeCodeCamp.org</t>
  </si>
  <si>
    <t xml:space="preserve">Practice platforms</t>
  </si>
  <si>
    <t xml:space="preserve">DSA problems &amp; contests</t>
  </si>
  <si>
    <t xml:space="preserve">Structured interview practice (Scaler's platform)</t>
  </si>
  <si>
    <t xml:space="preserve">NeetCode 150</t>
  </si>
  <si>
    <t xml:space="preserve">Curated DSA list with video solutions</t>
  </si>
  <si>
    <t xml:space="preserve">HackerRank SQL</t>
  </si>
  <si>
    <t xml:space="preserve">SQL practice</t>
  </si>
  <si>
    <t xml:space="preserve">Frontend Mentor</t>
  </si>
  <si>
    <t xml:space="preserve">HTML/CSS/JS/React UI challenges</t>
  </si>
  <si>
    <t xml:space="preserve">GreatFrontEnd</t>
  </si>
  <si>
    <t xml:space="preserve">Frontend interview questions</t>
  </si>
  <si>
    <t xml:space="preserve">The Odin Project</t>
  </si>
  <si>
    <t xml:space="preserve">Free full-stack JavaScript path</t>
  </si>
  <si>
    <t xml:space="preserve">roadmap.sh</t>
  </si>
  <si>
    <t xml:space="preserve">Visual roadmaps (frontend, backend, full-stack)</t>
  </si>
  <si>
    <t xml:space="preserve">Projects Portfolio Tracker</t>
  </si>
  <si>
    <t xml:space="preserve">Projects named in the Scaler curriculum / Besant syllabus plus a few suggested ones. Add your GitHub / live link and update Status.</t>
  </si>
  <si>
    <t xml:space="preserve">Project</t>
  </si>
  <si>
    <t xml:space="preserve">Phase / Module</t>
  </si>
  <si>
    <t xml:space="preserve">Skills shown</t>
  </si>
  <si>
    <t xml:space="preserve">Source</t>
  </si>
  <si>
    <t xml:space="preserve">GitHub / Live link</t>
  </si>
  <si>
    <t xml:space="preserve">Social Network Analyzer</t>
  </si>
  <si>
    <t xml:space="preserve">3. DSA – DP, Heaps &amp; Graphs</t>
  </si>
  <si>
    <t xml:space="preserve">Graph algorithms, BFS/DFS, data modelling</t>
  </si>
  <si>
    <t xml:space="preserve">Scaler</t>
  </si>
  <si>
    <t xml:space="preserve">Invoice Merger</t>
  </si>
  <si>
    <t xml:space="preserve">Heaps, sorting, hashing on real data</t>
  </si>
  <si>
    <t xml:space="preserve">TicTacToe (LLD + code)</t>
  </si>
  <si>
    <t xml:space="preserve">5. Applied Design &amp; Machine Coding</t>
  </si>
  <si>
    <t xml:space="preserve">OOP, class design, extensibility</t>
  </si>
  <si>
    <t xml:space="preserve">Parking Lot (LLD + code)</t>
  </si>
  <si>
    <t xml:space="preserve">Design patterns, strategy, concurrency</t>
  </si>
  <si>
    <t xml:space="preserve">BookMyShow (LLD + code)</t>
  </si>
  <si>
    <t xml:space="preserve">Complex domain modelling, locking</t>
  </si>
  <si>
    <t xml:space="preserve">Splitwise (LLD + code)</t>
  </si>
  <si>
    <t xml:space="preserve">Graph/heap of balances, clean APIs</t>
  </si>
  <si>
    <t xml:space="preserve">UserAuthService microservice (Spring, JWT/OAuth2)</t>
  </si>
  <si>
    <t xml:space="preserve">5. Backend Capstone Primer</t>
  </si>
  <si>
    <t xml:space="preserve">Spring Boot, JPA, auth, AWS deploy</t>
  </si>
  <si>
    <t xml:space="preserve">Payment microservice (Stripe) + Redis/Kafka</t>
  </si>
  <si>
    <t xml:space="preserve">5. Backend Capstone Advance</t>
  </si>
  <si>
    <t xml:space="preserve">Payments, async workloads, Docker</t>
  </si>
  <si>
    <t xml:space="preserve">BookMyShow Chat Agent / Splitwise AI Receipt Processor</t>
  </si>
  <si>
    <t xml:space="preserve">8. Elective – Production-Ready AI System</t>
  </si>
  <si>
    <t xml:space="preserve">LLM APIs, agents, backend orchestration</t>
  </si>
  <si>
    <t xml:space="preserve">System-design portfolio (3 write-ups)</t>
  </si>
  <si>
    <t xml:space="preserve">6. System Design</t>
  </si>
  <si>
    <t xml:space="preserve">HLD, trade-offs, estimation</t>
  </si>
  <si>
    <t xml:space="preserve">Suggested</t>
  </si>
  <si>
    <t xml:space="preserve">Responsive portfolio landing page</t>
  </si>
  <si>
    <t xml:space="preserve">1. HTML &amp; CSS</t>
  </si>
  <si>
    <t xml:space="preserve">Semantic HTML, Flexbox/Grid, responsive design</t>
  </si>
  <si>
    <t xml:space="preserve">Realtime Weather App</t>
  </si>
  <si>
    <t xml:space="preserve">2. JavaScript – Product Lab I</t>
  </si>
  <si>
    <t xml:space="preserve">Fetch/async, JSON, DOM rendering</t>
  </si>
  <si>
    <t xml:space="preserve">Kanban Board (localStorage)</t>
  </si>
  <si>
    <t xml:space="preserve">2. JavaScript – Product Labs II–V</t>
  </si>
  <si>
    <t xml:space="preserve">DOM manipulation, state, persistence</t>
  </si>
  <si>
    <t xml:space="preserve">JS utility library (polyfills)</t>
  </si>
  <si>
    <t xml:space="preserve">2. JavaScript Object System</t>
  </si>
  <si>
    <t xml:space="preserve">Prototypes, call/apply/bind, polyfills</t>
  </si>
  <si>
    <t xml:space="preserve">IMDB clone (React + Redux)</t>
  </si>
  <si>
    <t xml:space="preserve">3. React</t>
  </si>
  <si>
    <t xml:space="preserve">Routing, pagination, API, Context/Redux</t>
  </si>
  <si>
    <t xml:space="preserve">Genres REST API (Express + MongoDB)</t>
  </si>
  <si>
    <t xml:space="preserve">4. MERN Backend</t>
  </si>
  <si>
    <t xml:space="preserve">REST, Postman, validation</t>
  </si>
  <si>
    <t xml:space="preserve">Besant</t>
  </si>
  <si>
    <t xml:space="preserve">Movie-booking platform backend (auth, bookings, payments, email)</t>
  </si>
  <si>
    <t xml:space="preserve">4. MERN Backend – Product Labs 1–8</t>
  </si>
  <si>
    <t xml:space="preserve">JWT, RBAC, transactions, WebSockets</t>
  </si>
  <si>
    <t xml:space="preserve">E-commerce backend with payment gateway</t>
  </si>
  <si>
    <t xml:space="preserve">Auth, catalog, orders, payments</t>
  </si>
  <si>
    <t xml:space="preserve">Next.js app with auth &amp; deployment</t>
  </si>
  <si>
    <t xml:space="preserve">5. React/TS/Next.js Deep Dive</t>
  </si>
  <si>
    <t xml:space="preserve">SSR/SSG, route handlers, TypeScript</t>
  </si>
  <si>
    <t xml:space="preserve">Capstone: original full-stack app with an AI feature</t>
  </si>
  <si>
    <t xml:space="preserve">6. Capstone</t>
  </si>
  <si>
    <t xml:space="preserve">End-to-end ownership, deployment, demo</t>
  </si>
  <si>
    <t xml:space="preserve">Sources &amp; Assumptions</t>
  </si>
  <si>
    <t xml:space="preserve">Sources</t>
  </si>
  <si>
    <t xml:space="preserve">1</t>
  </si>
  <si>
    <t xml:space="preserve">Scaler_Academy_Brochure.html – latest curriculum (module names, session lists, durations). Used as the primary source for both plans.</t>
  </si>
  <si>
    <t xml:space="preserve">2</t>
  </si>
  <si>
    <t xml:space="preserve">Academy-Broucher-12-05-24 PDFs (3 identical copies) – older Scaler brochure (e.g. Beginner 10.5 mo / Intermediate 12 mo / Advanced 10 mo, 'Gen AI for Software Engineers' elective, IIT-Roorkee add-on). Used to confirm structure and batch levels.</t>
  </si>
  <si>
    <t xml:space="preserve">3</t>
  </si>
  <si>
    <t xml:space="preserve">full-stack-developer-course-syllabus.pdf (Besant Technologies) – HTML, CSS, Bootstrap, JavaScript, jQuery, PHP/MySQL/Laravel, ReactJS, MEAN (Angular, Node, Express, MongoDB) and MERN topics. Items drawn from it are tagged 'Besant syllabus' or '(Besant)'.</t>
  </si>
  <si>
    <t xml:space="preserve">Assumptions</t>
  </si>
  <si>
    <t xml:space="preserve">A</t>
  </si>
  <si>
    <t xml:space="preserve">1 month = 4 weeks. 'Mastering LastMile' (1.5 weeks in the brochure) is rounded up to 2 weeks.</t>
  </si>
  <si>
    <t xml:space="preserve">B</t>
  </si>
  <si>
    <t xml:space="preserve">Each module's session list is split evenly across its weeks. If a week is too heavy, spread it across 2 weeks (use Include? to re-flow dates).</t>
  </si>
  <si>
    <t xml:space="preserve">C</t>
  </si>
  <si>
    <t xml:space="preserve">Hours target per week is a planning input on Overview (default 15). The brochure does not specify hours; adjust to your schedule.</t>
  </si>
  <si>
    <t xml:space="preserve">D</t>
  </si>
  <si>
    <t xml:space="preserve">Module order follows the brochure: foundations → DSA → SQL → backend/LLD → system design → interview prep. Full-Stack order is JavaScript-first, then React, then Node/Mongo.</t>
  </si>
  <si>
    <t xml:space="preserve">E</t>
  </si>
  <si>
    <t xml:space="preserve">Rows tagged 'Suggested (not in sources)' (Full-Stack capstone, extra projects, practice targets) are my additions to make the plan actionable – edit freely.</t>
  </si>
  <si>
    <t xml:space="preserve">F</t>
  </si>
  <si>
    <t xml:space="preserve">9-month target = 39 weeks. The SDE plan is the brochure curriculum compressed (e.g. DSA 16→13 wks, backend/LLD 22→14, system design 6→4, SQL 4→2, Agentic AI 4→2); compressed rows say so in Notes. Expect ~18–22 study hours/week. Full-Stack keeps the brochure durations and drops Bootstrap/jQuery/electives.</t>
  </si>
  <si>
    <t xml:space="preserve">G</t>
  </si>
  <si>
    <t xml:space="preserve">jQuery, Angular and PHP/Laravel (Besant) are legacy/alternative stacks and are switched off by default; turn them on only if your target roles need them.</t>
  </si>
  <si>
    <t xml:space="preserve">H</t>
  </si>
  <si>
    <t xml:space="preserve">Brochure placement/salary statistics are marketing figures and were not used in the plan.</t>
  </si>
  <si>
    <t xml:space="preserve">Study habits (suggested)</t>
  </si>
  <si>
    <t xml:space="preserve">•</t>
  </si>
  <si>
    <t xml:space="preserve">Daily: 1 hour DSA practice (any track) – consistency beats cramming.</t>
  </si>
  <si>
    <t xml:space="preserve">Weekly: one timed mock contest or machine-coding round; review failures within 3 days.</t>
  </si>
  <si>
    <t xml:space="preserve">End of every module: finish the milestone before moving on; push code to GitHub.</t>
  </si>
  <si>
    <t xml:space="preserve">I</t>
  </si>
  <si>
    <t xml:space="preserve">YouTube links are search URLs (youtube.com/results?search_query=…) built from each week's first topic, so they never break; channel names on the Resources sheet are suggestions, not endorsements, and I could not verify that each channel covers every topic. Docs links point to official/widely used references.</t>
  </si>
  <si>
    <t xml:space="preserve">Developed by</t>
  </si>
  <si>
    <t xml:space="preserve">Rajesh Kumar Singh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</si>
</sst>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\-mmm\-yyyy"/>
    <numFmt numFmtId="166" formatCode="General"/>
    <numFmt numFmtId="167" formatCode="#,##0&quot; h&quot;"/>
    <numFmt numFmtId="168" formatCode="dd\-mmm\-yy"/>
    <numFmt numFmtId="169" formatCode="0%"/>
    <numFmt numFmtId="170" formatCode="0;\-0;\–"/>
    <numFmt numFmtId="171" formatCode="0"/>
    <numFmt numFmtId="172" formatCode=";;;"/>
  </numFmts>
  <fonts count="4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24"/>
      <color rgb="FFFFFFFF"/>
      <name val="Arial"/>
      <family val="0"/>
      <charset val="1"/>
    </font>
    <font>
      <i val="true"/>
      <sz val="10"/>
      <color rgb="FF3730A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E293B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5"/>
      <color rgb="FF4F46E5"/>
      <name val="Arial"/>
      <family val="0"/>
      <charset val="1"/>
    </font>
    <font>
      <b val="true"/>
      <sz val="8"/>
      <color rgb="FF64748B"/>
      <name val="Arial"/>
      <family val="0"/>
      <charset val="1"/>
    </font>
    <font>
      <b val="true"/>
      <sz val="28"/>
      <color rgb="FF4F46E5"/>
      <name val="Arial"/>
      <family val="0"/>
      <charset val="1"/>
    </font>
    <font>
      <b val="true"/>
      <sz val="22"/>
      <color rgb="FF4F46E5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15"/>
      <color rgb="FF0D9488"/>
      <name val="Arial"/>
      <family val="0"/>
      <charset val="1"/>
    </font>
    <font>
      <b val="true"/>
      <sz val="28"/>
      <color rgb="FF0D9488"/>
      <name val="Arial"/>
      <family val="0"/>
      <charset val="1"/>
    </font>
    <font>
      <b val="true"/>
      <sz val="22"/>
      <color rgb="FF0D9488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312E81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8"/>
      <color rgb="FF9CA3AF"/>
      <name val="Arial"/>
      <family val="0"/>
      <charset val="1"/>
    </font>
    <font>
      <b val="true"/>
      <sz val="11"/>
      <color rgb="FF312E81"/>
      <name val="Arial"/>
      <family val="0"/>
      <charset val="1"/>
    </font>
    <font>
      <i val="true"/>
      <sz val="10"/>
      <color rgb="FF3341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64748B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i val="true"/>
      <sz val="9"/>
      <color rgb="FF0000FF"/>
      <name val="Arial"/>
      <family val="0"/>
      <charset val="1"/>
    </font>
    <font>
      <b val="true"/>
      <sz val="9"/>
      <color rgb="FF2563EB"/>
      <name val="Arial"/>
      <family val="0"/>
      <charset val="1"/>
    </font>
    <font>
      <b val="true"/>
      <sz val="9"/>
      <color rgb="FFD97706"/>
      <name val="Arial"/>
      <family val="0"/>
      <charset val="1"/>
    </font>
    <font>
      <b val="true"/>
      <sz val="9"/>
      <color rgb="FF16A34A"/>
      <name val="Arial"/>
      <family val="0"/>
      <charset val="1"/>
    </font>
    <font>
      <b val="true"/>
      <sz val="9"/>
      <color rgb="FFDB2777"/>
      <name val="Arial"/>
      <family val="0"/>
      <charset val="1"/>
    </font>
    <font>
      <b val="true"/>
      <sz val="9"/>
      <color rgb="FF4F46E5"/>
      <name val="Arial"/>
      <family val="0"/>
      <charset val="1"/>
    </font>
    <font>
      <b val="true"/>
      <sz val="9"/>
      <color rgb="FFEA580C"/>
      <name val="Arial"/>
      <family val="0"/>
      <charset val="1"/>
    </font>
    <font>
      <b val="true"/>
      <sz val="9"/>
      <color rgb="FF0D9488"/>
      <name val="Arial"/>
      <family val="0"/>
      <charset val="1"/>
    </font>
    <font>
      <b val="true"/>
      <sz val="9"/>
      <color rgb="FF9333EA"/>
      <name val="Arial"/>
      <family val="0"/>
      <charset val="1"/>
    </font>
    <font>
      <b val="true"/>
      <sz val="10"/>
      <color rgb="FF4F46E5"/>
      <name val="Arial"/>
      <family val="0"/>
      <charset val="1"/>
    </font>
    <font>
      <b val="true"/>
      <sz val="10"/>
      <color rgb="FF0D9488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FFFFFF"/>
      <name val="Arial"/>
      <family val="0"/>
      <charset val="1"/>
    </font>
  </fonts>
  <fills count="32">
    <fill>
      <patternFill patternType="none"/>
    </fill>
    <fill>
      <patternFill patternType="gray125"/>
    </fill>
    <fill>
      <patternFill patternType="solid">
        <fgColor rgb="FF1E1B4B"/>
        <bgColor rgb="FF1E293B"/>
      </patternFill>
    </fill>
    <fill>
      <patternFill patternType="solid">
        <fgColor rgb="FFEEF2FF"/>
        <bgColor rgb="FFEEF2F7"/>
      </patternFill>
    </fill>
    <fill>
      <patternFill patternType="solid">
        <fgColor rgb="FF312E81"/>
        <bgColor rgb="FF3730A3"/>
      </patternFill>
    </fill>
    <fill>
      <patternFill patternType="solid">
        <fgColor rgb="FFFEF08A"/>
        <bgColor rgb="FFFEF9C3"/>
      </patternFill>
    </fill>
    <fill>
      <patternFill patternType="solid">
        <fgColor rgb="FF4F46E5"/>
        <bgColor rgb="FF4338CA"/>
      </patternFill>
    </fill>
    <fill>
      <patternFill patternType="solid">
        <fgColor rgb="FFFFFFFF"/>
        <bgColor rgb="FFF8FAFC"/>
      </patternFill>
    </fill>
    <fill>
      <patternFill patternType="solid">
        <fgColor rgb="FF0D9488"/>
        <bgColor rgb="FF16A34A"/>
      </patternFill>
    </fill>
    <fill>
      <patternFill patternType="solid">
        <fgColor rgb="FFE5E7EB"/>
        <bgColor rgb="FFE2E8F0"/>
      </patternFill>
    </fill>
    <fill>
      <patternFill patternType="solid">
        <fgColor rgb="FFDBEAFE"/>
        <bgColor rgb="FFE0E7FF"/>
      </patternFill>
    </fill>
    <fill>
      <patternFill patternType="solid">
        <fgColor rgb="FFFEF3C7"/>
        <bgColor rgb="FFFEF9C3"/>
      </patternFill>
    </fill>
    <fill>
      <patternFill patternType="solid">
        <fgColor rgb="FFDCFCE7"/>
        <bgColor rgb="FFCCFBF1"/>
      </patternFill>
    </fill>
    <fill>
      <patternFill patternType="solid">
        <fgColor rgb="FFFCE7F3"/>
        <bgColor rgb="FFF3E8FF"/>
      </patternFill>
    </fill>
    <fill>
      <patternFill patternType="solid">
        <fgColor rgb="FFE0E7FF"/>
        <bgColor rgb="FFDBEAFE"/>
      </patternFill>
    </fill>
    <fill>
      <patternFill patternType="solid">
        <fgColor rgb="FFFFEDD5"/>
        <bgColor rgb="FFFEF3C7"/>
      </patternFill>
    </fill>
    <fill>
      <patternFill patternType="solid">
        <fgColor rgb="FFCCFBF1"/>
        <bgColor rgb="FFDCFCE7"/>
      </patternFill>
    </fill>
    <fill>
      <patternFill patternType="solid">
        <fgColor rgb="FFF3E8FF"/>
        <bgColor rgb="FFFCE7F3"/>
      </patternFill>
    </fill>
    <fill>
      <patternFill patternType="solid">
        <fgColor rgb="FFFFF7ED"/>
        <bgColor rgb="FFFFFBEB"/>
      </patternFill>
    </fill>
    <fill>
      <patternFill patternType="solid">
        <fgColor rgb="FFF0FDFA"/>
        <bgColor rgb="FFECFDF5"/>
      </patternFill>
    </fill>
    <fill>
      <patternFill patternType="solid">
        <fgColor rgb="FFFDF2F8"/>
        <bgColor rgb="FFF5F3FF"/>
      </patternFill>
    </fill>
    <fill>
      <patternFill patternType="solid">
        <fgColor rgb="FFF5F3FF"/>
        <bgColor rgb="FFF3F4F6"/>
      </patternFill>
    </fill>
    <fill>
      <patternFill patternType="solid">
        <fgColor rgb="FFFEF9C3"/>
        <bgColor rgb="FFFEF3C7"/>
      </patternFill>
    </fill>
    <fill>
      <patternFill patternType="solid">
        <fgColor rgb="FFF8FAFC"/>
        <bgColor rgb="FFF0FDFA"/>
      </patternFill>
    </fill>
    <fill>
      <patternFill patternType="solid">
        <fgColor rgb="FF6366F1"/>
        <bgColor rgb="FF8E5BF6"/>
      </patternFill>
    </fill>
    <fill>
      <patternFill patternType="solid">
        <fgColor rgb="FF65748B"/>
        <bgColor rgb="FF6366F1"/>
      </patternFill>
    </fill>
    <fill>
      <patternFill patternType="solid">
        <fgColor rgb="FF2563EB"/>
        <bgColor rgb="FF0563C1"/>
      </patternFill>
    </fill>
    <fill>
      <patternFill patternType="solid">
        <fgColor rgb="FFDA7706"/>
        <bgColor rgb="FFEA580C"/>
      </patternFill>
    </fill>
    <fill>
      <patternFill patternType="solid">
        <fgColor rgb="FF16A34A"/>
        <bgColor rgb="FF0D9488"/>
      </patternFill>
    </fill>
    <fill>
      <patternFill patternType="solid">
        <fgColor rgb="FFDB2777"/>
        <bgColor rgb="FFEC4899"/>
      </patternFill>
    </fill>
    <fill>
      <patternFill patternType="solid">
        <fgColor rgb="FFEA580C"/>
        <bgColor rgb="FFDA7706"/>
      </patternFill>
    </fill>
    <fill>
      <patternFill patternType="solid">
        <fgColor rgb="FF9333EA"/>
        <bgColor rgb="FF8E5BF6"/>
      </patternFill>
    </fill>
  </fills>
  <borders count="26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4F46E5"/>
      </bottom>
      <diagonal/>
    </border>
    <border diagonalUp="false" diagonalDown="false">
      <left style="medium">
        <color rgb="FFDA7706"/>
      </left>
      <right style="medium">
        <color rgb="FFDA7706"/>
      </right>
      <top style="medium">
        <color rgb="FFDA7706"/>
      </top>
      <bottom style="medium">
        <color rgb="FFDA7706"/>
      </bottom>
      <diagonal/>
    </border>
    <border diagonalUp="false" diagonalDown="false">
      <left style="thin">
        <color rgb="FFCBD5E1"/>
      </left>
      <right style="thin">
        <color rgb="FFCBD5E1"/>
      </right>
      <top style="thick">
        <color rgb="FF4F46E5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ck">
        <color rgb="FF4F46E5"/>
      </top>
      <bottom/>
      <diagonal/>
    </border>
    <border diagonalUp="false" diagonalDown="false">
      <left style="thin">
        <color rgb="FFCBD5E1"/>
      </left>
      <right style="thin">
        <color rgb="FFCBD5E1"/>
      </right>
      <top/>
      <bottom/>
      <diagonal/>
    </border>
    <border diagonalUp="false" diagonalDown="false"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ck">
        <color rgb="FF0D9488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ck">
        <color rgb="FF0D9488"/>
      </top>
      <bottom/>
      <diagonal/>
    </border>
    <border diagonalUp="false" diagonalDown="false">
      <left style="thin">
        <color rgb="FF4338CA"/>
      </left>
      <right style="thin">
        <color rgb="FF4338CA"/>
      </right>
      <top/>
      <bottom style="medium">
        <color rgb="FF7992F9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 style="thin">
        <color rgb="FFE2E8F0"/>
      </right>
      <top style="medium">
        <color rgb="FF4F46E5"/>
      </top>
      <bottom style="thin">
        <color rgb="FFE2E8F0"/>
      </bottom>
      <diagonal/>
    </border>
    <border diagonalUp="false" diagonalDown="false">
      <left/>
      <right/>
      <top/>
      <bottom style="medium">
        <color rgb="FFFFFFFF"/>
      </bottom>
      <diagonal/>
    </border>
    <border diagonalUp="false" diagonalDown="false">
      <left style="thick">
        <color rgb="FF9CA3AF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ck">
        <color rgb="FF7992F9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ck">
        <color rgb="FFF59E0B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ck">
        <color rgb="FF10BB81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ck">
        <color rgb="FFEC4899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ck">
        <color rgb="FF6366F1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ck">
        <color rgb="FFDA7706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ck">
        <color rgb="FF10BB81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ck">
        <color rgb="FF8E5BF6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EEF2F7"/>
      </left>
      <right style="thin">
        <color rgb="FFEEF2F7"/>
      </right>
      <top style="thin">
        <color rgb="FFEEF2F7"/>
      </top>
      <bottom style="thin">
        <color rgb="FFEEF2F7"/>
      </bottom>
      <diagonal/>
    </border>
    <border diagonalUp="false" diagonalDown="false">
      <left/>
      <right style="thin">
        <color rgb="FFEEF2F7"/>
      </right>
      <top/>
      <bottom style="thin">
        <color rgb="FFEEF2F7"/>
      </bottom>
      <diagonal/>
    </border>
    <border diagonalUp="false" diagonalDown="false">
      <left style="thin">
        <color rgb="FFEEF2F7"/>
      </left>
      <right style="thin">
        <color rgb="FFEEF2F7"/>
      </right>
      <top style="thin">
        <color rgb="FFEEF2F7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21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11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12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13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14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15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16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17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3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22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8" borderId="1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3" fillId="19" borderId="1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3" fillId="3" borderId="1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3" fillId="20" borderId="1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3" fillId="21" borderId="1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2" borderId="1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9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27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7" fillId="1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9" fillId="2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3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27" fillId="2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23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7" fillId="11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3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4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5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6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7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4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29" fillId="4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9" fillId="6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0" fillId="24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2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2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2" fillId="9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1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11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12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13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14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15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16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17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8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9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9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0" borderId="2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5" fillId="0" borderId="2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9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2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7" fillId="26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10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10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7" fillId="27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11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11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7" fillId="28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2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12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7" fillId="29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13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13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7" fillId="6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14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14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7" fillId="3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15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15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7" fillId="8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16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16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1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17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17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5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9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9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9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2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2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9" fillId="2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0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11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1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12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2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13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3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14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4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15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5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16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6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17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7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6" fillId="2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5" fillId="23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0" xfId="0" applyFont="false" applyBorder="true" applyAlignment="true" applyProtection="false">
      <alignment horizontal="left" vertical="center" textRotation="0" wrapText="true" indent="1" shrinkToFit="false"/>
      <protection locked="true" hidden="false"/>
    </xf>
    <xf numFmtId="164" fontId="20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0" xfId="0" applyFont="false" applyBorder="true" applyAlignment="true" applyProtection="false">
      <alignment horizontal="left" vertical="center" textRotation="0" wrapText="true" indent="1" shrinkToFit="false"/>
      <protection locked="true" hidden="false"/>
    </xf>
    <xf numFmtId="164" fontId="3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0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3" fillId="2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23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8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0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45" fillId="0" borderId="1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9" fillId="0" borderId="1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45" fillId="4" borderId="1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4" borderId="10" xfId="0" applyFont="false" applyBorder="true" applyAlignment="true" applyProtection="false">
      <alignment horizontal="left" vertical="top" textRotation="0" wrapText="true" indent="1" shrinkToFit="false"/>
      <protection locked="true" hidden="false"/>
    </xf>
    <xf numFmtId="164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8">
    <dxf>
      <font>
        <name val="Arial"/>
        <charset val="1"/>
        <family val="0"/>
        <b val="1"/>
        <color rgb="FFB91C1C"/>
      </font>
    </dxf>
    <dxf>
      <font>
        <color rgb="FFCBD5E1"/>
      </font>
    </dxf>
    <dxf>
      <fill>
        <patternFill>
          <bgColor rgb="FF15803D"/>
        </patternFill>
      </fill>
    </dxf>
    <dxf>
      <fill>
        <patternFill>
          <bgColor rgb="FF64748B"/>
        </patternFill>
      </fill>
    </dxf>
    <dxf>
      <fill>
        <patternFill>
          <bgColor rgb="FF2563EB"/>
        </patternFill>
      </fill>
    </dxf>
    <dxf>
      <fill>
        <patternFill>
          <bgColor rgb="FFD97706"/>
        </patternFill>
      </fill>
    </dxf>
    <dxf>
      <fill>
        <patternFill>
          <bgColor rgb="FF16A34A"/>
        </patternFill>
      </fill>
    </dxf>
    <dxf>
      <fill>
        <patternFill>
          <bgColor rgb="FFDB2777"/>
        </patternFill>
      </fill>
    </dxf>
    <dxf>
      <fill>
        <patternFill>
          <bgColor rgb="FF4F46E5"/>
        </patternFill>
      </fill>
    </dxf>
    <dxf>
      <fill>
        <patternFill>
          <bgColor rgb="FFEA580C"/>
        </patternFill>
      </fill>
    </dxf>
    <dxf>
      <fill>
        <patternFill>
          <bgColor rgb="FF0D9488"/>
        </patternFill>
      </fill>
    </dxf>
    <dxf>
      <fill>
        <patternFill>
          <bgColor rgb="FF9333EA"/>
        </patternFill>
      </fill>
    </dxf>
    <dxf>
      <fill>
        <patternFill>
          <bgColor rgb="FFFEF3C7"/>
        </patternFill>
      </fill>
    </dxf>
    <dxf>
      <fill>
        <patternFill patternType="solid">
          <fgColor rgb="FF0D9488"/>
          <bgColor rgb="FF000000"/>
        </patternFill>
      </fill>
    </dxf>
    <dxf>
      <fill>
        <patternFill patternType="solid">
          <fgColor rgb="FF16A34A"/>
          <bgColor rgb="FF000000"/>
        </patternFill>
      </fill>
    </dxf>
    <dxf>
      <fill>
        <patternFill patternType="solid">
          <fgColor rgb="FF2563EB"/>
          <bgColor rgb="FF000000"/>
        </patternFill>
      </fill>
    </dxf>
    <dxf>
      <fill>
        <patternFill patternType="solid">
          <fgColor rgb="FF312E81"/>
          <bgColor rgb="FF000000"/>
        </patternFill>
      </fill>
    </dxf>
    <dxf>
      <fill>
        <patternFill patternType="solid">
          <fgColor rgb="FF4F46E5"/>
          <bgColor rgb="FF000000"/>
        </patternFill>
      </fill>
    </dxf>
    <dxf>
      <fill>
        <patternFill patternType="solid">
          <fgColor rgb="FFD97706"/>
          <bgColor rgb="FF000000"/>
        </patternFill>
      </fill>
    </dxf>
    <dxf>
      <fill>
        <patternFill patternType="solid">
          <fgColor rgb="FFDB2777"/>
          <bgColor rgb="FF000000"/>
        </patternFill>
      </fill>
    </dxf>
    <dxf>
      <fill>
        <patternFill patternType="solid">
          <fgColor rgb="FFEA580C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fgColor rgb="FF9CA3A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CFBF1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E0E7FF"/>
          <bgColor rgb="FF000000"/>
        </patternFill>
      </fill>
    </dxf>
    <dxf>
      <fill>
        <patternFill patternType="solid">
          <fgColor rgb="FFFCE7F3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FFEDD5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64748B"/>
          <bgColor rgb="FF000000"/>
        </patternFill>
      </fill>
    </dxf>
    <dxf>
      <font>
        <name val="Arial"/>
        <charset val="1"/>
        <family val="0"/>
        <color rgb="FF9CA3AF"/>
      </font>
      <fill>
        <patternFill>
          <bgColor rgb="FFF3F4F6"/>
        </patternFill>
      </fill>
    </dxf>
    <dxf>
      <font>
        <name val="Arial"/>
        <charset val="1"/>
        <family val="0"/>
        <b val="1"/>
        <color rgb="FF166534"/>
      </font>
      <fill>
        <patternFill>
          <bgColor rgb="FFBBF7D0"/>
        </patternFill>
      </fill>
    </dxf>
    <dxf>
      <fill>
        <patternFill>
          <bgColor rgb="FFFEF08A"/>
        </patternFill>
      </fill>
    </dxf>
    <dxf>
      <font>
        <name val="Arial"/>
        <charset val="1"/>
        <family val="0"/>
        <color rgb="FF64748B"/>
      </font>
      <fill>
        <patternFill>
          <bgColor rgb="FFF1F5F9"/>
        </patternFill>
      </fill>
    </dxf>
    <dxf>
      <fill>
        <patternFill>
          <bgColor rgb="FFECFDF5"/>
        </patternFill>
      </fill>
    </dxf>
    <dxf>
      <fill>
        <patternFill>
          <bgColor rgb="FFFFFBEB"/>
        </patternFill>
      </fill>
    </dxf>
    <dxf>
      <font>
        <name val="Arial"/>
        <charset val="1"/>
        <family val="0"/>
        <color rgb="FF9CA3AF"/>
      </font>
    </dxf>
    <dxf>
      <fill>
        <patternFill patternType="solid">
          <fgColor rgb="FFF8FAFC"/>
          <bgColor rgb="FF000000"/>
        </patternFill>
      </fill>
    </dxf>
    <dxf>
      <fill>
        <patternFill patternType="solid">
          <fgColor rgb="FFE5E7EB"/>
          <bgColor rgb="FF000000"/>
        </patternFill>
      </fill>
    </dxf>
    <dxf>
      <fill>
        <patternFill patternType="solid">
          <fgColor rgb="FFF3E8FF"/>
          <bgColor rgb="FF000000"/>
        </patternFill>
      </fill>
    </dxf>
    <dxf>
      <fill>
        <patternFill>
          <bgColor rgb="FFBBF7D0"/>
        </patternFill>
      </fill>
    </dxf>
    <dxf>
      <font>
        <name val="Arial"/>
        <charset val="1"/>
        <family val="0"/>
        <b val="1"/>
        <color rgb="FF166534"/>
      </font>
    </dxf>
  </dxfs>
  <colors>
    <indexedColors>
      <rgbColor rgb="FF000000"/>
      <rgbColor rgb="FFFFFFFF"/>
      <rgbColor rgb="FFF3F4F6"/>
      <rgbColor rgb="FFEEF2F7"/>
      <rgbColor rgb="FF0000FF"/>
      <rgbColor rgb="FFFEF3C7"/>
      <rgbColor rgb="FFF3E8FF"/>
      <rgbColor rgb="FFE0E7FF"/>
      <rgbColor rgb="FFF1F5F9"/>
      <rgbColor rgb="FF15803D"/>
      <rgbColor rgb="FF312E81"/>
      <rgbColor rgb="FFDA7706"/>
      <rgbColor rgb="FF4F46E5"/>
      <rgbColor rgb="FF0D9488"/>
      <rgbColor rgb="FFD1D5DB"/>
      <rgbColor rgb="FF6366F1"/>
      <rgbColor rgb="FF7992F9"/>
      <rgbColor rgb="FFDB2777"/>
      <rgbColor rgb="FFFEF9C3"/>
      <rgbColor rgb="FFCCFBF1"/>
      <rgbColor rgb="FF4338CA"/>
      <rgbColor rgb="FFEC4899"/>
      <rgbColor rgb="FF0563C1"/>
      <rgbColor rgb="FFCBD5E1"/>
      <rgbColor rgb="FFFFF7ED"/>
      <rgbColor rgb="FFFDF2F8"/>
      <rgbColor rgb="FFFFFBEB"/>
      <rgbColor rgb="FFECFDF5"/>
      <rgbColor rgb="FFEEF2FF"/>
      <rgbColor rgb="FFF5F3FF"/>
      <rgbColor rgb="FF166534"/>
      <rgbColor rgb="FFF8FAFC"/>
      <rgbColor rgb="FF06B6D4"/>
      <rgbColor rgb="FFDCFCE7"/>
      <rgbColor rgb="FFBBF7D0"/>
      <rgbColor rgb="FFFEF08A"/>
      <rgbColor rgb="FFDBEAFE"/>
      <rgbColor rgb="FFFCE7F3"/>
      <rgbColor rgb="FF8E5BF6"/>
      <rgbColor rgb="FFFFEDD5"/>
      <rgbColor rgb="FF2563EB"/>
      <rgbColor rgb="FF10BB81"/>
      <rgbColor rgb="FFE2E8F0"/>
      <rgbColor rgb="FFE5E7EB"/>
      <rgbColor rgb="FFF59E0B"/>
      <rgbColor rgb="FFEA580C"/>
      <rgbColor rgb="FF65748B"/>
      <rgbColor rgb="FF9CA3AF"/>
      <rgbColor rgb="FF1E1B4B"/>
      <rgbColor rgb="FF16A34A"/>
      <rgbColor rgb="FFF0FDFA"/>
      <rgbColor rgb="FF334155"/>
      <rgbColor rgb="FFB91C1C"/>
      <rgbColor rgb="FF9333EA"/>
      <rgbColor rgb="FF3730A3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Planned weeks by phase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Overview!C21</c:f>
              <c:strCache>
                <c:ptCount val="1"/>
                <c:pt idx="0">
                  <c:v>SDE</c:v>
                </c:pt>
              </c:strCache>
            </c:strRef>
          </c:tx>
          <c:spPr>
            <a:solidFill>
              <a:srgbClr val="4f46e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Overview!$B$22:$B$38</c:f>
              <c:strCache>
                <c:ptCount val="17"/>
                <c:pt idx="0">
                  <c:v>0. 🧱 Foundations</c:v>
                </c:pt>
                <c:pt idx="1">
                  <c:v>1. 🌐 Web Foundations</c:v>
                </c:pt>
                <c:pt idx="2">
                  <c:v>1. 🧩 Problem Solving</c:v>
                </c:pt>
                <c:pt idx="3">
                  <c:v>2. ⚡ JavaScript</c:v>
                </c:pt>
                <c:pt idx="4">
                  <c:v>2. 🤖 AI Skills</c:v>
                </c:pt>
                <c:pt idx="5">
                  <c:v>3. ⚛️ React</c:v>
                </c:pt>
                <c:pt idx="6">
                  <c:v>3. 🧠 DSA</c:v>
                </c:pt>
                <c:pt idx="7">
                  <c:v>4. 🗄️ Databases</c:v>
                </c:pt>
                <c:pt idx="8">
                  <c:v>4. 🛠️ Backend (MERN)</c:v>
                </c:pt>
                <c:pt idx="9">
                  <c:v>5. ⚙️ Backend &amp; LLD</c:v>
                </c:pt>
                <c:pt idx="10">
                  <c:v>5. 🚀 Advanced Frontend</c:v>
                </c:pt>
                <c:pt idx="11">
                  <c:v>6. 🏆 Capstone</c:v>
                </c:pt>
                <c:pt idx="12">
                  <c:v>6. 🏗️ System Design</c:v>
                </c:pt>
                <c:pt idx="13">
                  <c:v>7. 🎯 Interview Prep</c:v>
                </c:pt>
                <c:pt idx="14">
                  <c:v>7. 🎯 Interview Readiness</c:v>
                </c:pt>
                <c:pt idx="15">
                  <c:v>8. ✨ Electives (optional)</c:v>
                </c:pt>
                <c:pt idx="16">
                  <c:v>8. ✨ Optional extensions</c:v>
                </c:pt>
              </c:strCache>
            </c:strRef>
          </c:cat>
          <c:val>
            <c:numRef>
              <c:f>Overview!$C$22:$C$38</c:f>
              <c:numCache>
                <c:formatCode>0;\-0;\–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13</c:v>
                </c:pt>
                <c:pt idx="7">
                  <c:v>2</c:v>
                </c:pt>
                <c:pt idx="8">
                  <c:v>0</c:v>
                </c:pt>
                <c:pt idx="9">
                  <c:v>14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ser>
          <c:idx val="1"/>
          <c:order val="1"/>
          <c:tx>
            <c:strRef>
              <c:f>Overview!D21</c:f>
              <c:strCache>
                <c:ptCount val="1"/>
                <c:pt idx="0">
                  <c:v>Full-Stack</c:v>
                </c:pt>
              </c:strCache>
            </c:strRef>
          </c:tx>
          <c:spPr>
            <a:solidFill>
              <a:srgbClr val="0d948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Overview!$B$22:$B$38</c:f>
              <c:strCache>
                <c:ptCount val="17"/>
                <c:pt idx="0">
                  <c:v>0. 🧱 Foundations</c:v>
                </c:pt>
                <c:pt idx="1">
                  <c:v>1. 🌐 Web Foundations</c:v>
                </c:pt>
                <c:pt idx="2">
                  <c:v>1. 🧩 Problem Solving</c:v>
                </c:pt>
                <c:pt idx="3">
                  <c:v>2. ⚡ JavaScript</c:v>
                </c:pt>
                <c:pt idx="4">
                  <c:v>2. 🤖 AI Skills</c:v>
                </c:pt>
                <c:pt idx="5">
                  <c:v>3. ⚛️ React</c:v>
                </c:pt>
                <c:pt idx="6">
                  <c:v>3. 🧠 DSA</c:v>
                </c:pt>
                <c:pt idx="7">
                  <c:v>4. 🗄️ Databases</c:v>
                </c:pt>
                <c:pt idx="8">
                  <c:v>4. 🛠️ Backend (MERN)</c:v>
                </c:pt>
                <c:pt idx="9">
                  <c:v>5. ⚙️ Backend &amp; LLD</c:v>
                </c:pt>
                <c:pt idx="10">
                  <c:v>5. 🚀 Advanced Frontend</c:v>
                </c:pt>
                <c:pt idx="11">
                  <c:v>6. 🏆 Capstone</c:v>
                </c:pt>
                <c:pt idx="12">
                  <c:v>6. 🏗️ System Design</c:v>
                </c:pt>
                <c:pt idx="13">
                  <c:v>7. 🎯 Interview Prep</c:v>
                </c:pt>
                <c:pt idx="14">
                  <c:v>7. 🎯 Interview Readiness</c:v>
                </c:pt>
                <c:pt idx="15">
                  <c:v>8. ✨ Electives (optional)</c:v>
                </c:pt>
                <c:pt idx="16">
                  <c:v>8. ✨ Optional extensions</c:v>
                </c:pt>
              </c:strCache>
            </c:strRef>
          </c:cat>
          <c:val>
            <c:numRef>
              <c:f>Overview!$D$22:$D$38</c:f>
              <c:numCache>
                <c:formatCode>0;\-0;\–</c:formatCode>
                <c:ptCount val="17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0</c:v>
                </c:pt>
                <c:pt idx="10">
                  <c:v>6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  <c:pt idx="14">
                  <c:v>6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gapWidth val="45"/>
        <c:overlap val="-5"/>
        <c:axId val="45026560"/>
        <c:axId val="296943"/>
      </c:barChart>
      <c:catAx>
        <c:axId val="4502656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6943"/>
        <c:crosses val="autoZero"/>
        <c:auto val="1"/>
        <c:lblAlgn val="ctr"/>
        <c:lblOffset val="100"/>
        <c:noMultiLvlLbl val="0"/>
      </c:catAx>
      <c:valAx>
        <c:axId val="296943"/>
        <c:scaling>
          <c:orientation val="minMax"/>
        </c:scaling>
        <c:delete val="0"/>
        <c:axPos val="l"/>
        <c:majorGridlines>
          <c:spPr>
            <a:ln w="9360">
              <a:solidFill>
                <a:srgbClr val="e2e8f0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02656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20</xdr:row>
      <xdr:rowOff>0</xdr:rowOff>
    </xdr:from>
    <xdr:to>
      <xdr:col>12</xdr:col>
      <xdr:colOff>175320</xdr:colOff>
      <xdr:row>37</xdr:row>
      <xdr:rowOff>27360</xdr:rowOff>
    </xdr:to>
    <xdr:graphicFrame>
      <xdr:nvGraphicFramePr>
        <xdr:cNvPr id="0" name="Chart 1"/>
        <xdr:cNvGraphicFramePr/>
      </xdr:nvGraphicFramePr>
      <xdr:xfrm>
        <a:off x="5074920" y="6039000"/>
        <a:ext cx="5579640" cy="47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freecodecamp.org/learn" TargetMode="External"/><Relationship Id="rId2" Type="http://schemas.openxmlformats.org/officeDocument/2006/relationships/hyperlink" Target="https://www.youtube.com/results?search_query=programming+loops+conditions+for+beginners+Programming+foundations+%26+AI+awareness" TargetMode="External"/><Relationship Id="rId3" Type="http://schemas.openxmlformats.org/officeDocument/2006/relationships/hyperlink" Target="https://dev.java/learn/" TargetMode="External"/><Relationship Id="rId4" Type="http://schemas.openxmlformats.org/officeDocument/2006/relationships/hyperlink" Target="https://www.youtube.com/results?search_query=programming+loops+conditions+for+beginners+Data+types+1+%26+2+%2B+reading+inputs" TargetMode="External"/><Relationship Id="rId5" Type="http://schemas.openxmlformats.org/officeDocument/2006/relationships/hyperlink" Target="https://www.geeksforgeeks.org/" TargetMode="External"/><Relationship Id="rId6" Type="http://schemas.openxmlformats.org/officeDocument/2006/relationships/hyperlink" Target="https://www.youtube.com/results?search_query=programming+loops+conditions+for+beginners+Loops+%26+iteration+analysis+by+AI" TargetMode="External"/><Relationship Id="rId7" Type="http://schemas.openxmlformats.org/officeDocument/2006/relationships/hyperlink" Target="https://www.freecodecamp.org/learn" TargetMode="External"/><Relationship Id="rId8" Type="http://schemas.openxmlformats.org/officeDocument/2006/relationships/hyperlink" Target="https://www.youtube.com/results?search_query=programming+loops+conditions+for+beginners+More+problems+on+loops+%26+patterns" TargetMode="External"/><Relationship Id="rId9" Type="http://schemas.openxmlformats.org/officeDocument/2006/relationships/hyperlink" Target="https://www.freecodecamp.org/learn" TargetMode="External"/><Relationship Id="rId10" Type="http://schemas.openxmlformats.org/officeDocument/2006/relationships/hyperlink" Target="https://www.youtube.com/results?search_query=programming+functions+arrays+strings+designing+code+with+AI" TargetMode="External"/><Relationship Id="rId11" Type="http://schemas.openxmlformats.org/officeDocument/2006/relationships/hyperlink" Target="https://dev.java/learn/" TargetMode="External"/><Relationship Id="rId12" Type="http://schemas.openxmlformats.org/officeDocument/2006/relationships/hyperlink" Target="https://www.youtube.com/results?search_query=programming+functions+arrays+strings+Introduction+to+strings" TargetMode="External"/><Relationship Id="rId13" Type="http://schemas.openxmlformats.org/officeDocument/2006/relationships/hyperlink" Target="https://www.geeksforgeeks.org/" TargetMode="External"/><Relationship Id="rId14" Type="http://schemas.openxmlformats.org/officeDocument/2006/relationships/hyperlink" Target="https://www.youtube.com/results?search_query=programming+functions+arrays+strings+2D+arrays+1+%2B+labs+1+%26+2" TargetMode="External"/><Relationship Id="rId15" Type="http://schemas.openxmlformats.org/officeDocument/2006/relationships/hyperlink" Target="https://www.freecodecamp.org/learn" TargetMode="External"/><Relationship Id="rId16" Type="http://schemas.openxmlformats.org/officeDocument/2006/relationships/hyperlink" Target="https://www.youtube.com/results?search_query=programming+functions+arrays+strings+Maths+basics+%26+calculating+iterations" TargetMode="External"/><Relationship Id="rId17" Type="http://schemas.openxmlformats.org/officeDocument/2006/relationships/hyperlink" Target="https://neetcode.io/roadmap" TargetMode="External"/><Relationship Id="rId18" Type="http://schemas.openxmlformats.org/officeDocument/2006/relationships/hyperlink" Target="https://www.youtube.com/results?search_query=DSA+arrays+prefix+sum+Time+complexity" TargetMode="External"/><Relationship Id="rId19" Type="http://schemas.openxmlformats.org/officeDocument/2006/relationships/hyperlink" Target="https://www.geeksforgeeks.org/data-structures/" TargetMode="External"/><Relationship Id="rId20" Type="http://schemas.openxmlformats.org/officeDocument/2006/relationships/hyperlink" Target="https://www.youtube.com/results?search_query=DSA+arrays+prefix+sum+memory+management+%26+sorting+basics" TargetMode="External"/><Relationship Id="rId21" Type="http://schemas.openxmlformats.org/officeDocument/2006/relationships/hyperlink" Target="https://docs.n8n.io/" TargetMode="External"/><Relationship Id="rId22" Type="http://schemas.openxmlformats.org/officeDocument/2006/relationships/hyperlink" Target="https://www.youtube.com/results?search_query=AI+agents+n8n+RAG+prompt+engineering+GenAI+world+%26+LLM+landscape" TargetMode="External"/><Relationship Id="rId23" Type="http://schemas.openxmlformats.org/officeDocument/2006/relationships/hyperlink" Target="https://docs.claude.com/en/docs/build-with-claude/prompt-engineering/overview" TargetMode="External"/><Relationship Id="rId24" Type="http://schemas.openxmlformats.org/officeDocument/2006/relationships/hyperlink" Target="https://www.youtube.com/results?search_query=AI+agents+n8n+RAG+prompt+engineering+n8n+automation+workflow" TargetMode="External"/><Relationship Id="rId25" Type="http://schemas.openxmlformats.org/officeDocument/2006/relationships/hyperlink" Target="https://www.geeksforgeeks.org/data-structures/" TargetMode="External"/><Relationship Id="rId26" Type="http://schemas.openxmlformats.org/officeDocument/2006/relationships/hyperlink" Target="https://www.youtube.com/results?search_query=DSA+Time+complexity" TargetMode="External"/><Relationship Id="rId27" Type="http://schemas.openxmlformats.org/officeDocument/2006/relationships/hyperlink" Target="https://cp-algorithms.com/" TargetMode="External"/><Relationship Id="rId28" Type="http://schemas.openxmlformats.org/officeDocument/2006/relationships/hyperlink" Target="https://www.youtube.com/results?search_query=DSA+Bit+manipulation+%2B+lab" TargetMode="External"/><Relationship Id="rId29" Type="http://schemas.openxmlformats.org/officeDocument/2006/relationships/hyperlink" Target="https://leetcode.com/problemset/" TargetMode="External"/><Relationship Id="rId30" Type="http://schemas.openxmlformats.org/officeDocument/2006/relationships/hyperlink" Target="https://www.youtube.com/results?search_query=DSA+count+sort+%26+merge+sort" TargetMode="External"/><Relationship Id="rId31" Type="http://schemas.openxmlformats.org/officeDocument/2006/relationships/hyperlink" Target="https://www.geeksforgeeks.org/data-structures/" TargetMode="External"/><Relationship Id="rId32" Type="http://schemas.openxmlformats.org/officeDocument/2006/relationships/hyperlink" Target="https://www.youtube.com/results?search_query=DSA+binary+search+on+array" TargetMode="External"/><Relationship Id="rId33" Type="http://schemas.openxmlformats.org/officeDocument/2006/relationships/hyperlink" Target="https://neetcode.io/roadmap" TargetMode="External"/><Relationship Id="rId34" Type="http://schemas.openxmlformats.org/officeDocument/2006/relationships/hyperlink" Target="https://www.youtube.com/results?search_query=DSA+basic+problems" TargetMode="External"/><Relationship Id="rId35" Type="http://schemas.openxmlformats.org/officeDocument/2006/relationships/hyperlink" Target="https://leetcode.com/problemset/" TargetMode="External"/><Relationship Id="rId36" Type="http://schemas.openxmlformats.org/officeDocument/2006/relationships/hyperlink" Target="https://www.youtube.com/results?search_query=DSA+Trees+2%3A+BST" TargetMode="External"/><Relationship Id="rId37" Type="http://schemas.openxmlformats.org/officeDocument/2006/relationships/hyperlink" Target="https://www.geeksforgeeks.org/data-structures/" TargetMode="External"/><Relationship Id="rId38" Type="http://schemas.openxmlformats.org/officeDocument/2006/relationships/hyperlink" Target="https://www.youtube.com/results?search_query=DSA+combinatorics+basics+%26+prime+numbers" TargetMode="External"/><Relationship Id="rId39" Type="http://schemas.openxmlformats.org/officeDocument/2006/relationships/hyperlink" Target="https://cp-algorithms.com/" TargetMode="External"/><Relationship Id="rId40" Type="http://schemas.openxmlformats.org/officeDocument/2006/relationships/hyperlink" Target="https://www.youtube.com/results?search_query=DSA+sorting+%26+problems" TargetMode="External"/><Relationship Id="rId41" Type="http://schemas.openxmlformats.org/officeDocument/2006/relationships/hyperlink" Target="https://leetcode.com/problemset/" TargetMode="External"/><Relationship Id="rId42" Type="http://schemas.openxmlformats.org/officeDocument/2006/relationships/hyperlink" Target="https://www.youtube.com/results?search_query=DSA+Binary+trees+2" TargetMode="External"/><Relationship Id="rId43" Type="http://schemas.openxmlformats.org/officeDocument/2006/relationships/hyperlink" Target="https://cp-algorithms.com/" TargetMode="External"/><Relationship Id="rId44" Type="http://schemas.openxmlformats.org/officeDocument/2006/relationships/hyperlink" Target="https://www.youtube.com/results?search_query=DSA+introduction" TargetMode="External"/><Relationship Id="rId45" Type="http://schemas.openxmlformats.org/officeDocument/2006/relationships/hyperlink" Target="https://neetcode.io/roadmap" TargetMode="External"/><Relationship Id="rId46" Type="http://schemas.openxmlformats.org/officeDocument/2006/relationships/hyperlink" Target="https://www.youtube.com/results?search_query=DSA+one-dimensional" TargetMode="External"/><Relationship Id="rId47" Type="http://schemas.openxmlformats.org/officeDocument/2006/relationships/hyperlink" Target="https://leetcode.com/problemset/" TargetMode="External"/><Relationship Id="rId48" Type="http://schemas.openxmlformats.org/officeDocument/2006/relationships/hyperlink" Target="https://www.youtube.com/results?search_query=DSA+Graphs+2%3A+BFS+%26+MST" TargetMode="External"/><Relationship Id="rId49" Type="http://schemas.openxmlformats.org/officeDocument/2006/relationships/hyperlink" Target="https://cp-algorithms.com/" TargetMode="External"/><Relationship Id="rId50" Type="http://schemas.openxmlformats.org/officeDocument/2006/relationships/hyperlink" Target="https://www.youtube.com/results?search_query=DSA+Revision+of+DSA+3+%26+4" TargetMode="External"/><Relationship Id="rId51" Type="http://schemas.openxmlformats.org/officeDocument/2006/relationships/hyperlink" Target="https://sqlbolt.com/" TargetMode="External"/><Relationship Id="rId52" Type="http://schemas.openxmlformats.org/officeDocument/2006/relationships/hyperlink" Target="https://www.youtube.com/results?search_query=SQL+Intro+to+DBMS+%26+keys" TargetMode="External"/><Relationship Id="rId53" Type="http://schemas.openxmlformats.org/officeDocument/2006/relationships/hyperlink" Target="https://www.w3schools.com/sql/" TargetMode="External"/><Relationship Id="rId54" Type="http://schemas.openxmlformats.org/officeDocument/2006/relationships/hyperlink" Target="https://www.youtube.com/results?search_query=SQL+Subqueries+%26+views" TargetMode="External"/><Relationship Id="rId55" Type="http://schemas.openxmlformats.org/officeDocument/2006/relationships/hyperlink" Target="https://dev.java/learn/" TargetMode="External"/><Relationship Id="rId56" Type="http://schemas.openxmlformats.org/officeDocument/2006/relationships/hyperlink" Target="https://www.youtube.com/results?search_query=Java+Intro+to+LLD+for+scalable+%26+AI-ready+systems" TargetMode="External"/><Relationship Id="rId57" Type="http://schemas.openxmlformats.org/officeDocument/2006/relationships/hyperlink" Target="https://docs.oracle.com/javase/tutorial/essential/concurrency/" TargetMode="External"/><Relationship Id="rId58" Type="http://schemas.openxmlformats.org/officeDocument/2006/relationships/hyperlink" Target="https://www.youtube.com/results?search_query=Java+interfaces+%26+abstract+classes" TargetMode="External"/><Relationship Id="rId59" Type="http://schemas.openxmlformats.org/officeDocument/2006/relationships/hyperlink" Target="https://refactoring.guru/design-patterns" TargetMode="External"/><Relationship Id="rId60" Type="http://schemas.openxmlformats.org/officeDocument/2006/relationships/hyperlink" Target="https://www.youtube.com/results?search_query=Java+Java+advanced+1%3A+generics" TargetMode="External"/><Relationship Id="rId61" Type="http://schemas.openxmlformats.org/officeDocument/2006/relationships/hyperlink" Target="https://refactoring.guru/design-patterns" TargetMode="External"/><Relationship Id="rId62" Type="http://schemas.openxmlformats.org/officeDocument/2006/relationships/hyperlink" Target="https://www.youtube.com/results?search_query=design+patterns+SOLID+SOLID+principles+with+AI+integrations" TargetMode="External"/><Relationship Id="rId63" Type="http://schemas.openxmlformats.org/officeDocument/2006/relationships/hyperlink" Target="https://refactoring.guru/design-patterns/catalog" TargetMode="External"/><Relationship Id="rId64" Type="http://schemas.openxmlformats.org/officeDocument/2006/relationships/hyperlink" Target="https://www.youtube.com/results?search_query=design+patterns+SOLID+Adapter+%26+Facade" TargetMode="External"/><Relationship Id="rId65" Type="http://schemas.openxmlformats.org/officeDocument/2006/relationships/hyperlink" Target="https://refactoring.guru/design-patterns" TargetMode="External"/><Relationship Id="rId66" Type="http://schemas.openxmlformats.org/officeDocument/2006/relationships/hyperlink" Target="https://www.youtube.com/results?search_query=low+level+design+machine+coding+How+to+approach+design+problems" TargetMode="External"/><Relationship Id="rId67" Type="http://schemas.openxmlformats.org/officeDocument/2006/relationships/hyperlink" Target="https://dev.java/learn/" TargetMode="External"/><Relationship Id="rId68" Type="http://schemas.openxmlformats.org/officeDocument/2006/relationships/hyperlink" Target="https://www.youtube.com/results?search_query=low+level+design+machine+coding+Design+%2B+code+Parking+Lot" TargetMode="External"/><Relationship Id="rId69" Type="http://schemas.openxmlformats.org/officeDocument/2006/relationships/hyperlink" Target="https://www.interviewbit.com/" TargetMode="External"/><Relationship Id="rId70" Type="http://schemas.openxmlformats.org/officeDocument/2006/relationships/hyperlink" Target="https://www.youtube.com/results?search_query=low+level+design+machine+coding+Design+Splitwise" TargetMode="External"/><Relationship Id="rId71" Type="http://schemas.openxmlformats.org/officeDocument/2006/relationships/hyperlink" Target="https://spring.io/guides" TargetMode="External"/><Relationship Id="rId72" Type="http://schemas.openxmlformats.org/officeDocument/2006/relationships/hyperlink" Target="https://www.youtube.com/results?search_query=Spring+Boot+Intro+to+backend+systems+%26+AI-augmented+development" TargetMode="External"/><Relationship Id="rId73" Type="http://schemas.openxmlformats.org/officeDocument/2006/relationships/hyperlink" Target="https://git-scm.com/book/en/v2" TargetMode="External"/><Relationship Id="rId74" Type="http://schemas.openxmlformats.org/officeDocument/2006/relationships/hyperlink" Target="https://www.youtube.com/results?search_query=Spring+Boot+MVC%2C+requests+in+Spring+%26+first+microservice+%28AI+integration%29" TargetMode="External"/><Relationship Id="rId75" Type="http://schemas.openxmlformats.org/officeDocument/2006/relationships/hyperlink" Target="https://jwt.io/introduction" TargetMode="External"/><Relationship Id="rId76" Type="http://schemas.openxmlformats.org/officeDocument/2006/relationships/hyperlink" Target="https://www.youtube.com/results?search_query=Spring+Boot+Unit+testing+%26+good+practices+%28AI-assisted%29" TargetMode="External"/><Relationship Id="rId77" Type="http://schemas.openxmlformats.org/officeDocument/2006/relationships/hyperlink" Target="https://docs.spring.io/spring-boot/index.html" TargetMode="External"/><Relationship Id="rId78" Type="http://schemas.openxmlformats.org/officeDocument/2006/relationships/hyperlink" Target="https://www.youtube.com/results?search_query=Spring+Boot+microservices+RestTemplate%2C+resilience+%26+handling+failures" TargetMode="External"/><Relationship Id="rId79" Type="http://schemas.openxmlformats.org/officeDocument/2006/relationships/hyperlink" Target="https://docs.docker.com/get-started/" TargetMode="External"/><Relationship Id="rId80" Type="http://schemas.openxmlformats.org/officeDocument/2006/relationships/hyperlink" Target="https://www.youtube.com/results?search_query=Spring+Boot+microservices+JWT+generation+%26+validation" TargetMode="External"/><Relationship Id="rId81" Type="http://schemas.openxmlformats.org/officeDocument/2006/relationships/hyperlink" Target="https://aws.amazon.com/getting-started/" TargetMode="External"/><Relationship Id="rId82" Type="http://schemas.openxmlformats.org/officeDocument/2006/relationships/hyperlink" Target="https://www.youtube.com/results?search_query=Spring+Boot+microservices+Stripe+PG+%26+reconciliation" TargetMode="External"/><Relationship Id="rId83" Type="http://schemas.openxmlformats.org/officeDocument/2006/relationships/hyperlink" Target="https://github.com/donnemartin/system-design-primer" TargetMode="External"/><Relationship Id="rId84" Type="http://schemas.openxmlformats.org/officeDocument/2006/relationships/hyperlink" Target="https://www.youtube.com/results?search_query=system+design+System+design+foundations+%26+modern+infrastructure" TargetMode="External"/><Relationship Id="rId85" Type="http://schemas.openxmlformats.org/officeDocument/2006/relationships/hyperlink" Target="https://highscalability.com/" TargetMode="External"/><Relationship Id="rId86" Type="http://schemas.openxmlformats.org/officeDocument/2006/relationships/hyperlink" Target="https://www.youtube.com/results?search_query=system+design+CAP+%2F+PACELC+%2B+master-slave+replication" TargetMode="External"/><Relationship Id="rId87" Type="http://schemas.openxmlformats.org/officeDocument/2006/relationships/hyperlink" Target="https://kafka.apache.org/documentation/" TargetMode="External"/><Relationship Id="rId88" Type="http://schemas.openxmlformats.org/officeDocument/2006/relationships/hyperlink" Target="https://www.youtube.com/results?search_query=system+design+LSM+tree+%26+multi-master" TargetMode="External"/><Relationship Id="rId89" Type="http://schemas.openxmlformats.org/officeDocument/2006/relationships/hyperlink" Target="https://github.com/donnemartin/system-design-primer" TargetMode="External"/><Relationship Id="rId90" Type="http://schemas.openxmlformats.org/officeDocument/2006/relationships/hyperlink" Target="https://www.youtube.com/results?search_query=system+design+Uber+%28nearest-neighbour+search%29" TargetMode="External"/><Relationship Id="rId91" Type="http://schemas.openxmlformats.org/officeDocument/2006/relationships/hyperlink" Target="https://www.interviewbit.com/" TargetMode="External"/><Relationship Id="rId92" Type="http://schemas.openxmlformats.org/officeDocument/2006/relationships/hyperlink" Target="https://www.youtube.com/results?search_query=coding+interview+mock+problem+solving+%26+thinking+under+pressure" TargetMode="External"/><Relationship Id="rId93" Type="http://schemas.openxmlformats.org/officeDocument/2006/relationships/hyperlink" Target="https://leetcode.com/" TargetMode="External"/><Relationship Id="rId94" Type="http://schemas.openxmlformats.org/officeDocument/2006/relationships/hyperlink" Target="https://www.youtube.com/results?search_query=coding+interview+mock+structuring+scalable+solutions" TargetMode="External"/><Relationship Id="rId95" Type="http://schemas.openxmlformats.org/officeDocument/2006/relationships/hyperlink" Target="https://platform.openai.com/docs" TargetMode="External"/><Relationship Id="rId96" Type="http://schemas.openxmlformats.org/officeDocument/2006/relationships/hyperlink" Target="https://www.youtube.com/results?search_query=LLM+API+backend+Intro+to+LLMs+for+backend+engineers+%26+prompt+engineering+for+APIs" TargetMode="External"/><Relationship Id="rId97" Type="http://schemas.openxmlformats.org/officeDocument/2006/relationships/hyperlink" Target="https://docs.claude.com/en/docs/welcome" TargetMode="External"/><Relationship Id="rId98" Type="http://schemas.openxmlformats.org/officeDocument/2006/relationships/hyperlink" Target="https://www.youtube.com/results?search_query=LLM+API+backend+Build+BookMyShow+chat+agent+1%2C+2+%26+3" TargetMode="External"/><Relationship Id="rId99" Type="http://schemas.openxmlformats.org/officeDocument/2006/relationships/hyperlink" Target="https://python.langchain.com/docs/introduction/" TargetMode="External"/><Relationship Id="rId100" Type="http://schemas.openxmlformats.org/officeDocument/2006/relationships/hyperlink" Target="https://www.youtube.com/results?search_query=LLM+API+backend+Build+Splitwise+AI+receipt+processor+1%2C+2+%26+3" TargetMode="External"/><Relationship Id="rId101" Type="http://schemas.openxmlformats.org/officeDocument/2006/relationships/hyperlink" Target="https://platform.openai.com/docs" TargetMode="External"/><Relationship Id="rId102" Type="http://schemas.openxmlformats.org/officeDocument/2006/relationships/hyperlink" Target="https://www.youtube.com/results?search_query=LLM+API+backend+Backend+capstone+project+contest" TargetMode="External"/><Relationship Id="rId103" Type="http://schemas.openxmlformats.org/officeDocument/2006/relationships/hyperlink" Target="https://cp-algorithms.com/" TargetMode="External"/><Relationship Id="rId104" Type="http://schemas.openxmlformats.org/officeDocument/2006/relationships/hyperlink" Target="https://www.youtube.com/results?search_query=advanced+DSA+tries+graphs+DP+Townhall+%2B+revision+of+DSA+topics" TargetMode="External"/><Relationship Id="rId105" Type="http://schemas.openxmlformats.org/officeDocument/2006/relationships/hyperlink" Target="https://neetcode.io/roadmap" TargetMode="External"/><Relationship Id="rId106" Type="http://schemas.openxmlformats.org/officeDocument/2006/relationships/hyperlink" Target="https://www.youtube.com/results?search_query=advanced+DSA+tries+graphs+DP+famous+problems" TargetMode="External"/><Relationship Id="rId107" Type="http://schemas.openxmlformats.org/officeDocument/2006/relationships/hyperlink" Target="https://leetcode.com/problemset/" TargetMode="External"/><Relationship Id="rId108" Type="http://schemas.openxmlformats.org/officeDocument/2006/relationships/hyperlink" Target="https://www.youtube.com/results?search_query=advanced+DSA+tries+graphs+DP+String+pattern+matching" TargetMode="External"/><Relationship Id="rId109" Type="http://schemas.openxmlformats.org/officeDocument/2006/relationships/hyperlink" Target="https://cp-algorithms.com/" TargetMode="External"/><Relationship Id="rId110" Type="http://schemas.openxmlformats.org/officeDocument/2006/relationships/hyperlink" Target="https://www.youtube.com/results?search_query=advanced+DSA+tries+graphs+DP+bipartite%2C+Bellman-Ford+%26+Floyd-Warshall" TargetMode="External"/><Relationship Id="rId111" Type="http://schemas.openxmlformats.org/officeDocument/2006/relationships/hyperlink" Target="https://huggingface.co/learn" TargetMode="External"/><Relationship Id="rId112" Type="http://schemas.openxmlformats.org/officeDocument/2006/relationships/hyperlink" Target="https://www.youtube.com/results?search_query=generative+AI+RAG+agents+Intro+to+AI+engineering" TargetMode="External"/><Relationship Id="rId113" Type="http://schemas.openxmlformats.org/officeDocument/2006/relationships/hyperlink" Target="https://platform.openai.com/docs" TargetMode="External"/><Relationship Id="rId114" Type="http://schemas.openxmlformats.org/officeDocument/2006/relationships/hyperlink" Target="https://www.youtube.com/results?search_query=generative+AI+RAG+agents+Text+generation+%26+LLM+APIs+%28OpenAI+API%29" TargetMode="External"/><Relationship Id="rId115" Type="http://schemas.openxmlformats.org/officeDocument/2006/relationships/hyperlink" Target="https://docs.claude.com/en/docs/welcome" TargetMode="External"/><Relationship Id="rId116" Type="http://schemas.openxmlformats.org/officeDocument/2006/relationships/hyperlink" Target="https://www.youtube.com/results?search_query=generative+AI+RAG+agents+RAG+introduction" TargetMode="External"/><Relationship Id="rId117" Type="http://schemas.openxmlformats.org/officeDocument/2006/relationships/hyperlink" Target="https://huggingface.co/learn" TargetMode="External"/><Relationship Id="rId118" Type="http://schemas.openxmlformats.org/officeDocument/2006/relationships/hyperlink" Target="https://www.youtube.com/results?search_query=generative+AI+RAG+agents+foundations+%26+planning" TargetMode="External"/><Relationship Id="rId119" Type="http://schemas.openxmlformats.org/officeDocument/2006/relationships/hyperlink" Target="https://platform.openai.com/docs" TargetMode="External"/><Relationship Id="rId120" Type="http://schemas.openxmlformats.org/officeDocument/2006/relationships/hyperlink" Target="https://www.youtube.com/results?search_query=generative+AI+RAG+agents+Fine-tuning+existing+models" TargetMode="External"/><Relationship Id="rId121" Type="http://schemas.openxmlformats.org/officeDocument/2006/relationships/hyperlink" Target="https://docs.claude.com/en/docs/welcome" TargetMode="External"/><Relationship Id="rId122" Type="http://schemas.openxmlformats.org/officeDocument/2006/relationships/hyperlink" Target="https://www.youtube.com/results?search_query=generative+AI+RAG+agents+Model+quantization+techniques" TargetMode="External"/><Relationship Id="rId123" Type="http://schemas.openxmlformats.org/officeDocument/2006/relationships/hyperlink" Target="https://spark.apache.org/docs/latest/" TargetMode="External"/><Relationship Id="rId124" Type="http://schemas.openxmlformats.org/officeDocument/2006/relationships/hyperlink" Target="https://www.youtube.com/results?search_query=data+engineering+Spark+Intro+to+data+engineering" TargetMode="External"/><Relationship Id="rId125" Type="http://schemas.openxmlformats.org/officeDocument/2006/relationships/hyperlink" Target="https://hive.apache.org/" TargetMode="External"/><Relationship Id="rId126" Type="http://schemas.openxmlformats.org/officeDocument/2006/relationships/hyperlink" Target="https://www.youtube.com/results?search_query=data+engineering+Spark+Writing+efficient+queries+1+%26+2" TargetMode="External"/><Relationship Id="rId127" Type="http://schemas.openxmlformats.org/officeDocument/2006/relationships/hyperlink" Target="https://kafka.apache.org/documentation/" TargetMode="External"/><Relationship Id="rId128" Type="http://schemas.openxmlformats.org/officeDocument/2006/relationships/hyperlink" Target="https://www.youtube.com/results?search_query=data+engineering+Spark+Intro+to+Hive+%26+advanced+Hive" TargetMode="External"/><Relationship Id="rId129" Type="http://schemas.openxmlformats.org/officeDocument/2006/relationships/hyperlink" Target="https://spark.apache.org/docs/latest/" TargetMode="External"/><Relationship Id="rId130" Type="http://schemas.openxmlformats.org/officeDocument/2006/relationships/hyperlink" Target="https://www.youtube.com/results?search_query=data+engineering+Spark+PySpark+%26+PySpark+operations" TargetMode="External"/><Relationship Id="rId131" Type="http://schemas.openxmlformats.org/officeDocument/2006/relationships/hyperlink" Target="https://hive.apache.org/" TargetMode="External"/><Relationship Id="rId132" Type="http://schemas.openxmlformats.org/officeDocument/2006/relationships/hyperlink" Target="https://www.youtube.com/results?search_query=data+engineering+Spark+bringing+it+all+together" TargetMode="External"/><Relationship Id="rId133" Type="http://schemas.openxmlformats.org/officeDocument/2006/relationships/hyperlink" Target="https://kafka.apache.org/documentation/" TargetMode="External"/><Relationship Id="rId134" Type="http://schemas.openxmlformats.org/officeDocument/2006/relationships/hyperlink" Target="https://www.youtube.com/results?search_query=data+engineering+Spark+Modern+data+architectures+%26+AWS+services+for+data+engineering" TargetMode="External"/><Relationship Id="rId135" Type="http://schemas.openxmlformats.org/officeDocument/2006/relationships/hyperlink" Target="https://spark.apache.org/docs/latest/" TargetMode="External"/><Relationship Id="rId136" Type="http://schemas.openxmlformats.org/officeDocument/2006/relationships/hyperlink" Target="https://www.youtube.com/results?search_query=data+engineering+Spark+Orchestrating+data+pipelines+%282+sessions%29" TargetMode="External"/><Relationship Id="rId137" Type="http://schemas.openxmlformats.org/officeDocument/2006/relationships/hyperlink" Target="https://hive.apache.org/" TargetMode="External"/><Relationship Id="rId138" Type="http://schemas.openxmlformats.org/officeDocument/2006/relationships/hyperlink" Target="https://www.youtube.com/results?search_query=data+engineering+Spark+Data+pillars" TargetMode="External"/><Relationship Id="rId139" Type="http://schemas.openxmlformats.org/officeDocument/2006/relationships/hyperlink" Target="https://www.atlassian.com/agile/product-management" TargetMode="External"/><Relationship Id="rId140" Type="http://schemas.openxmlformats.org/officeDocument/2006/relationships/hyperlink" Target="https://www.youtube.com/results?search_query=product+management+product+management" TargetMode="External"/><Relationship Id="rId141" Type="http://schemas.openxmlformats.org/officeDocument/2006/relationships/hyperlink" Target="https://productschool.com/blog" TargetMode="External"/><Relationship Id="rId142" Type="http://schemas.openxmlformats.org/officeDocument/2006/relationships/hyperlink" Target="https://www.youtube.com/results?search_query=product+management+Understanding+the+product+lifecycle+1+%26+2" TargetMode="External"/><Relationship Id="rId143" Type="http://schemas.openxmlformats.org/officeDocument/2006/relationships/hyperlink" Target="https://www.mindtheproduct.com/" TargetMode="External"/><Relationship Id="rId144" Type="http://schemas.openxmlformats.org/officeDocument/2006/relationships/hyperlink" Target="https://www.youtube.com/results?search_query=product+management+Market+structure+analysis+%26+its+technical+aspects+1+%26+2" TargetMode="External"/><Relationship Id="rId145" Type="http://schemas.openxmlformats.org/officeDocument/2006/relationships/hyperlink" Target="https://www.atlassian.com/agile/product-management" TargetMode="External"/><Relationship Id="rId146" Type="http://schemas.openxmlformats.org/officeDocument/2006/relationships/hyperlink" Target="https://www.youtube.com/results?search_query=product+management+Concept+development%2C+validation+%26+the+role+of+developers+1+%26+2" TargetMode="External"/><Relationship Id="rId147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developer.mozilla.org/en-US/docs/Learn_web_development" TargetMode="External"/><Relationship Id="rId2" Type="http://schemas.openxmlformats.org/officeDocument/2006/relationships/hyperlink" Target="https://www.youtube.com/results?search_query=HTML+CSS+browsers%2C+HTML%2C+DevTools+%26+AI+inspection" TargetMode="External"/><Relationship Id="rId3" Type="http://schemas.openxmlformats.org/officeDocument/2006/relationships/hyperlink" Target="https://web.dev/learn/css" TargetMode="External"/><Relationship Id="rId4" Type="http://schemas.openxmlformats.org/officeDocument/2006/relationships/hyperlink" Target="https://www.youtube.com/results?search_query=HTML+CSS+responsive+design%2C+media+queries+%26+Grid" TargetMode="External"/><Relationship Id="rId5" Type="http://schemas.openxmlformats.org/officeDocument/2006/relationships/hyperlink" Target="https://getbootstrap.com/docs/5.3/getting-started/introduction/" TargetMode="External"/><Relationship Id="rId6" Type="http://schemas.openxmlformats.org/officeDocument/2006/relationships/hyperlink" Target="https://www.youtube.com/results?search_query=Bootstrap+5+Introduction+to+Bootstrap+%26+basics" TargetMode="External"/><Relationship Id="rId7" Type="http://schemas.openxmlformats.org/officeDocument/2006/relationships/hyperlink" Target="https://javascript.info/" TargetMode="External"/><Relationship Id="rId8" Type="http://schemas.openxmlformats.org/officeDocument/2006/relationships/hyperlink" Target="https://www.youtube.com/results?search_query=JavaScript+values%2C+types%2C+variables+%26+control+flow" TargetMode="External"/><Relationship Id="rId9" Type="http://schemas.openxmlformats.org/officeDocument/2006/relationships/hyperlink" Target="https://developer.mozilla.org/en-US/docs/Web/JavaScript" TargetMode="External"/><Relationship Id="rId10" Type="http://schemas.openxmlformats.org/officeDocument/2006/relationships/hyperlink" Target="https://www.youtube.com/results?search_query=JavaScript+predict+output+%26+debug" TargetMode="External"/><Relationship Id="rId11" Type="http://schemas.openxmlformats.org/officeDocument/2006/relationships/hyperlink" Target="https://javascript30.com/" TargetMode="External"/><Relationship Id="rId12" Type="http://schemas.openxmlformats.org/officeDocument/2006/relationships/hyperlink" Target="https://www.youtube.com/results?search_query=JavaScript+user+interaction+%26+handlers" TargetMode="External"/><Relationship Id="rId13" Type="http://schemas.openxmlformats.org/officeDocument/2006/relationships/hyperlink" Target="https://javascript.info/" TargetMode="External"/><Relationship Id="rId14" Type="http://schemas.openxmlformats.org/officeDocument/2006/relationships/hyperlink" Target="https://www.youtube.com/results?search_query=JavaScript+callbacks%2C+Web+APIs+%26+non-blocking+execution" TargetMode="External"/><Relationship Id="rId15" Type="http://schemas.openxmlformats.org/officeDocument/2006/relationships/hyperlink" Target="https://developer.mozilla.org/en-US/docs/Web/JavaScript" TargetMode="External"/><Relationship Id="rId16" Type="http://schemas.openxmlformats.org/officeDocument/2006/relationships/hyperlink" Target="https://www.youtube.com/results?search_query=JavaScript+promise+combinators+%26+real-world+patterns" TargetMode="External"/><Relationship Id="rId17" Type="http://schemas.openxmlformats.org/officeDocument/2006/relationships/hyperlink" Target="https://javascript30.com/" TargetMode="External"/><Relationship Id="rId18" Type="http://schemas.openxmlformats.org/officeDocument/2006/relationships/hyperlink" Target="https://www.youtube.com/results?search_query=JavaScript+event+delegation+%26+machine+coding" TargetMode="External"/><Relationship Id="rId19" Type="http://schemas.openxmlformats.org/officeDocument/2006/relationships/hyperlink" Target="https://javascript.info/prototypes" TargetMode="External"/><Relationship Id="rId20" Type="http://schemas.openxmlformats.org/officeDocument/2006/relationships/hyperlink" Target="https://www.youtube.com/results?search_query=JavaScript+prototypes+this+bind+polyfill+classes%2C+constructors+%26+OO+modelling" TargetMode="External"/><Relationship Id="rId21" Type="http://schemas.openxmlformats.org/officeDocument/2006/relationships/hyperlink" Target="https://javascript.info/classes" TargetMode="External"/><Relationship Id="rId22" Type="http://schemas.openxmlformats.org/officeDocument/2006/relationships/hyperlink" Target="https://www.youtube.com/results?search_query=JavaScript+prototypes+this+bind+polyfill+call%2C+apply%2C+bind+%26+polyfill+thinking" TargetMode="External"/><Relationship Id="rId23" Type="http://schemas.openxmlformats.org/officeDocument/2006/relationships/hyperlink" Target="https://learn.jquery.com/" TargetMode="External"/><Relationship Id="rId24" Type="http://schemas.openxmlformats.org/officeDocument/2006/relationships/hyperlink" Target="https://www.youtube.com/results?search_query=jQuery+Intro+to+jQuery+%26+syntax" TargetMode="External"/><Relationship Id="rId25" Type="http://schemas.openxmlformats.org/officeDocument/2006/relationships/hyperlink" Target="https://react.dev/learn" TargetMode="External"/><Relationship Id="rId26" Type="http://schemas.openxmlformats.org/officeDocument/2006/relationships/hyperlink" Target="https://www.youtube.com/results?search_query=React+components%2C+JSX+%26+thinking+in+UI+trees" TargetMode="External"/><Relationship Id="rId27" Type="http://schemas.openxmlformats.org/officeDocument/2006/relationships/hyperlink" Target="https://redux.js.org/tutorials/essentials/part-1-overview-concepts" TargetMode="External"/><Relationship Id="rId28" Type="http://schemas.openxmlformats.org/officeDocument/2006/relationships/hyperlink" Target="https://www.youtube.com/results?search_query=React+State%2C+events+%26+interactive+UI" TargetMode="External"/><Relationship Id="rId29" Type="http://schemas.openxmlformats.org/officeDocument/2006/relationships/hyperlink" Target="https://reactrouter.com/start/library/installation" TargetMode="External"/><Relationship Id="rId30" Type="http://schemas.openxmlformats.org/officeDocument/2006/relationships/hyperlink" Target="https://www.youtube.com/results?search_query=React+IMDB+app+&#8211;+movies+page%2C+pagination+%26+data+rendering" TargetMode="External"/><Relationship Id="rId31" Type="http://schemas.openxmlformats.org/officeDocument/2006/relationships/hyperlink" Target="https://react.dev/learn" TargetMode="External"/><Relationship Id="rId32" Type="http://schemas.openxmlformats.org/officeDocument/2006/relationships/hyperlink" Target="https://www.youtube.com/results?search_query=React+Context+API%2C+state+sharing+%26+component+communication" TargetMode="External"/><Relationship Id="rId33" Type="http://schemas.openxmlformats.org/officeDocument/2006/relationships/hyperlink" Target="https://nodejs.org/en/learn" TargetMode="External"/><Relationship Id="rId34" Type="http://schemas.openxmlformats.org/officeDocument/2006/relationships/hyperlink" Target="https://www.youtube.com/results?search_query=Node+Express+MongoDB+Node.js%2C+APIs%2C+Express+%26+service+thinking" TargetMode="External"/><Relationship Id="rId35" Type="http://schemas.openxmlformats.org/officeDocument/2006/relationships/hyperlink" Target="https://expressjs.com/" TargetMode="External"/><Relationship Id="rId36" Type="http://schemas.openxmlformats.org/officeDocument/2006/relationships/hyperlink" Target="https://www.youtube.com/results?search_query=Node+Express+MongoDB+filters%2C+indexing%2C+aggregation%2C+schema+validation+%26+embedded+documents" TargetMode="External"/><Relationship Id="rId37" Type="http://schemas.openxmlformats.org/officeDocument/2006/relationships/hyperlink" Target="https://mongoosejs.com/docs/guide.html" TargetMode="External"/><Relationship Id="rId38" Type="http://schemas.openxmlformats.org/officeDocument/2006/relationships/hyperlink" Target="https://www.youtube.com/results?search_query=Node+Express+MongoDB+protected+routes%2C+tokens+%26+session-aware+flows+%28JWT%29" TargetMode="External"/><Relationship Id="rId39" Type="http://schemas.openxmlformats.org/officeDocument/2006/relationships/hyperlink" Target="https://nodejs.org/en/learn" TargetMode="External"/><Relationship Id="rId40" Type="http://schemas.openxmlformats.org/officeDocument/2006/relationships/hyperlink" Target="https://www.youtube.com/results?search_query=Node+Express+MongoDB+payments%2C+ticket+generation+%26+order+lifecycle+%28payment+gateway%29" TargetMode="External"/><Relationship Id="rId41" Type="http://schemas.openxmlformats.org/officeDocument/2006/relationships/hyperlink" Target="https://sqlbolt.com/" TargetMode="External"/><Relationship Id="rId42" Type="http://schemas.openxmlformats.org/officeDocument/2006/relationships/hyperlink" Target="https://www.youtube.com/results?search_query=SQL+Intro+to+DBMS+%26+keys" TargetMode="External"/><Relationship Id="rId43" Type="http://schemas.openxmlformats.org/officeDocument/2006/relationships/hyperlink" Target="https://www.w3schools.com/sql/" TargetMode="External"/><Relationship Id="rId44" Type="http://schemas.openxmlformats.org/officeDocument/2006/relationships/hyperlink" Target="https://www.youtube.com/results?search_query=SQL+Joins+%26+aggregate+queries" TargetMode="External"/><Relationship Id="rId45" Type="http://schemas.openxmlformats.org/officeDocument/2006/relationships/hyperlink" Target="https://mode.com/sql-tutorial/" TargetMode="External"/><Relationship Id="rId46" Type="http://schemas.openxmlformats.org/officeDocument/2006/relationships/hyperlink" Target="https://www.youtube.com/results?search_query=SQL+Indexing+%26+transactions" TargetMode="External"/><Relationship Id="rId47" Type="http://schemas.openxmlformats.org/officeDocument/2006/relationships/hyperlink" Target="https://sqlbolt.com/" TargetMode="External"/><Relationship Id="rId48" Type="http://schemas.openxmlformats.org/officeDocument/2006/relationships/hyperlink" Target="https://www.youtube.com/results?search_query=SQL+Schema+design+1+%26+2" TargetMode="External"/><Relationship Id="rId49" Type="http://schemas.openxmlformats.org/officeDocument/2006/relationships/hyperlink" Target="https://owasp.org/www-project-top-ten/" TargetMode="External"/><Relationship Id="rId50" Type="http://schemas.openxmlformats.org/officeDocument/2006/relationships/hyperlink" Target="https://www.youtube.com/results?search_query=Node.js+backend+security+testing+Docker+API+testing%2C+debugging+%26+error+handling" TargetMode="External"/><Relationship Id="rId51" Type="http://schemas.openxmlformats.org/officeDocument/2006/relationships/hyperlink" Target="https://docs.docker.com/get-started/" TargetMode="External"/><Relationship Id="rId52" Type="http://schemas.openxmlformats.org/officeDocument/2006/relationships/hyperlink" Target="https://www.youtube.com/results?search_query=Node.js+backend+security+testing+Docker+caching%2C+queues%2C+background+jobs+%26+data-flow+trade-offs" TargetMode="External"/><Relationship Id="rId53" Type="http://schemas.openxmlformats.org/officeDocument/2006/relationships/hyperlink" Target="https://www.typescriptlang.org/docs/handbook/intro.html" TargetMode="External"/><Relationship Id="rId54" Type="http://schemas.openxmlformats.org/officeDocument/2006/relationships/hyperlink" Target="https://www.youtube.com/results?search_query=React+TypeScript+Next.js+TypeScript+foundations+for+JS+developers" TargetMode="External"/><Relationship Id="rId55" Type="http://schemas.openxmlformats.org/officeDocument/2006/relationships/hyperlink" Target="https://nextjs.org/learn" TargetMode="External"/><Relationship Id="rId56" Type="http://schemas.openxmlformats.org/officeDocument/2006/relationships/hyperlink" Target="https://www.youtube.com/results?search_query=React+TypeScript+Next.js+Custom+hooks+%26+reusable+logic+patterns" TargetMode="External"/><Relationship Id="rId57" Type="http://schemas.openxmlformats.org/officeDocument/2006/relationships/hyperlink" Target="https://react.dev/reference/react/hooks" TargetMode="External"/><Relationship Id="rId58" Type="http://schemas.openxmlformats.org/officeDocument/2006/relationships/hyperlink" Target="https://www.youtube.com/results?search_query=React+TypeScript+Next.js+patterns%2C+state+trade-offs+%26+AI-assisted+review" TargetMode="External"/><Relationship Id="rId59" Type="http://schemas.openxmlformats.org/officeDocument/2006/relationships/hyperlink" Target="https://www.typescriptlang.org/docs/handbook/intro.html" TargetMode="External"/><Relationship Id="rId60" Type="http://schemas.openxmlformats.org/officeDocument/2006/relationships/hyperlink" Target="https://www.youtube.com/results?search_query=React+TypeScript+Next.js+forms%2C+route+handlers%2C+auth+flow+%26+deployment" TargetMode="External"/><Relationship Id="rId61" Type="http://schemas.openxmlformats.org/officeDocument/2006/relationships/hyperlink" Target="https://platform.openai.com/docs" TargetMode="External"/><Relationship Id="rId62" Type="http://schemas.openxmlformats.org/officeDocument/2006/relationships/hyperlink" Target="https://www.youtube.com/results?search_query=AI+coding+assistant+full+stack+Full-stack+development+in+the+age+of+AI" TargetMode="External"/><Relationship Id="rId63" Type="http://schemas.openxmlformats.org/officeDocument/2006/relationships/hyperlink" Target="https://docs.claude.com/en/docs/welcome" TargetMode="External"/><Relationship Id="rId64" Type="http://schemas.openxmlformats.org/officeDocument/2006/relationships/hyperlink" Target="https://www.youtube.com/results?search_query=AI+coding+assistant+full+stack+Reviewing+%26+validating+AI-generated+full-stack+code" TargetMode="External"/><Relationship Id="rId65" Type="http://schemas.openxmlformats.org/officeDocument/2006/relationships/hyperlink" Target="https://docs.github.com/en/get-started" TargetMode="External"/><Relationship Id="rId66" Type="http://schemas.openxmlformats.org/officeDocument/2006/relationships/hyperlink" Target="https://www.youtube.com/results?search_query=full+stack+project+deploy+Scope%2C+wireframes+%26+data+model" TargetMode="External"/><Relationship Id="rId67" Type="http://schemas.openxmlformats.org/officeDocument/2006/relationships/hyperlink" Target="https://vercel.com/docs" TargetMode="External"/><Relationship Id="rId68" Type="http://schemas.openxmlformats.org/officeDocument/2006/relationships/hyperlink" Target="https://www.youtube.com/results?search_query=full+stack+project+deploy+Build+UI+%2B+authentication" TargetMode="External"/><Relationship Id="rId69" Type="http://schemas.openxmlformats.org/officeDocument/2006/relationships/hyperlink" Target="https://render.com/docs" TargetMode="External"/><Relationship Id="rId70" Type="http://schemas.openxmlformats.org/officeDocument/2006/relationships/hyperlink" Target="https://www.youtube.com/results?search_query=full+stack+project+deploy+Add+one+AI+feature+%28LLM+API%29" TargetMode="External"/><Relationship Id="rId71" Type="http://schemas.openxmlformats.org/officeDocument/2006/relationships/hyperlink" Target="https://neetcode.io/roadmap" TargetMode="External"/><Relationship Id="rId72" Type="http://schemas.openxmlformats.org/officeDocument/2006/relationships/hyperlink" Target="https://www.youtube.com/results?search_query=DSA+arrays+prefix+sum+Time+complexity" TargetMode="External"/><Relationship Id="rId73" Type="http://schemas.openxmlformats.org/officeDocument/2006/relationships/hyperlink" Target="https://www.geeksforgeeks.org/data-structures/" TargetMode="External"/><Relationship Id="rId74" Type="http://schemas.openxmlformats.org/officeDocument/2006/relationships/hyperlink" Target="https://www.youtube.com/results?search_query=DSA+arrays+prefix+sum+Array+techniques+%26+smart+prompting" TargetMode="External"/><Relationship Id="rId75" Type="http://schemas.openxmlformats.org/officeDocument/2006/relationships/hyperlink" Target="https://leetcode.com/problemset/" TargetMode="External"/><Relationship Id="rId76" Type="http://schemas.openxmlformats.org/officeDocument/2006/relationships/hyperlink" Target="https://www.youtube.com/results?search_query=DSA+arrays+prefix+sum+Bit+manipulation+basics" TargetMode="External"/><Relationship Id="rId77" Type="http://schemas.openxmlformats.org/officeDocument/2006/relationships/hyperlink" Target="https://neetcode.io/roadmap" TargetMode="External"/><Relationship Id="rId78" Type="http://schemas.openxmlformats.org/officeDocument/2006/relationships/hyperlink" Target="https://www.youtube.com/results?search_query=DSA+arrays+prefix+sum+Strings+%26+immutability" TargetMode="External"/><Relationship Id="rId79" Type="http://schemas.openxmlformats.org/officeDocument/2006/relationships/hyperlink" Target="https://www.interviewbit.com/" TargetMode="External"/><Relationship Id="rId80" Type="http://schemas.openxmlformats.org/officeDocument/2006/relationships/hyperlink" Target="https://www.youtube.com/results?search_query=coding+interview+mock+DSA+interview+simulation" TargetMode="External"/><Relationship Id="rId81" Type="http://schemas.openxmlformats.org/officeDocument/2006/relationships/hyperlink" Target="https://leetcode.com/" TargetMode="External"/><Relationship Id="rId82" Type="http://schemas.openxmlformats.org/officeDocument/2006/relationships/hyperlink" Target="https://www.youtube.com/results?search_query=coding+interview+mock+LLD+%2F+machine-coding+simulation+%28frontend+focus%29" TargetMode="External"/><Relationship Id="rId83" Type="http://schemas.openxmlformats.org/officeDocument/2006/relationships/hyperlink" Target="https://neetcode.io/roadmap" TargetMode="External"/><Relationship Id="rId84" Type="http://schemas.openxmlformats.org/officeDocument/2006/relationships/hyperlink" Target="https://www.youtube.com/results?search_query=DSA+arrays%2C+bits%2C+recursion%2C+hashing+%26+sorting" TargetMode="External"/><Relationship Id="rId85" Type="http://schemas.openxmlformats.org/officeDocument/2006/relationships/hyperlink" Target="https://cp-algorithms.com/" TargetMode="External"/><Relationship Id="rId86" Type="http://schemas.openxmlformats.org/officeDocument/2006/relationships/hyperlink" Target="https://www.youtube.com/results?search_query=DSA+arrays%2C+bits%2C+recursion%2C+hashing+%26+sorting" TargetMode="External"/><Relationship Id="rId87" Type="http://schemas.openxmlformats.org/officeDocument/2006/relationships/hyperlink" Target="https://leetcode.com/problemset/" TargetMode="External"/><Relationship Id="rId88" Type="http://schemas.openxmlformats.org/officeDocument/2006/relationships/hyperlink" Target="https://www.youtube.com/results?search_query=DSA+arrays%2C+bits%2C+recursion%2C+hashing+%26+sorting" TargetMode="External"/><Relationship Id="rId89" Type="http://schemas.openxmlformats.org/officeDocument/2006/relationships/hyperlink" Target="https://neetcode.io/roadmap" TargetMode="External"/><Relationship Id="rId90" Type="http://schemas.openxmlformats.org/officeDocument/2006/relationships/hyperlink" Target="https://www.youtube.com/results?search_query=DSA+arrays%2C+bits%2C+recursion%2C+hashing+%26+sorting" TargetMode="External"/><Relationship Id="rId91" Type="http://schemas.openxmlformats.org/officeDocument/2006/relationships/hyperlink" Target="https://cp-algorithms.com/" TargetMode="External"/><Relationship Id="rId92" Type="http://schemas.openxmlformats.org/officeDocument/2006/relationships/hyperlink" Target="https://www.youtube.com/results?search_query=DSA+searching%2C+linked+list%2C+stacks%2C+queues+%26+trees" TargetMode="External"/><Relationship Id="rId93" Type="http://schemas.openxmlformats.org/officeDocument/2006/relationships/hyperlink" Target="https://leetcode.com/problemset/" TargetMode="External"/><Relationship Id="rId94" Type="http://schemas.openxmlformats.org/officeDocument/2006/relationships/hyperlink" Target="https://www.youtube.com/results?search_query=DSA+searching%2C+linked+list%2C+stacks%2C+queues+%26+trees" TargetMode="External"/><Relationship Id="rId95" Type="http://schemas.openxmlformats.org/officeDocument/2006/relationships/hyperlink" Target="https://neetcode.io/roadmap" TargetMode="External"/><Relationship Id="rId96" Type="http://schemas.openxmlformats.org/officeDocument/2006/relationships/hyperlink" Target="https://www.youtube.com/results?search_query=DSA+searching%2C+linked+list%2C+stacks%2C+queues+%26+trees" TargetMode="External"/><Relationship Id="rId97" Type="http://schemas.openxmlformats.org/officeDocument/2006/relationships/hyperlink" Target="https://cp-algorithms.com/" TargetMode="External"/><Relationship Id="rId98" Type="http://schemas.openxmlformats.org/officeDocument/2006/relationships/hyperlink" Target="https://www.youtube.com/results?search_query=DSA+searching%2C+linked+list%2C+stacks%2C+queues+%26+trees" TargetMode="External"/><Relationship Id="rId99" Type="http://schemas.openxmlformats.org/officeDocument/2006/relationships/hyperlink" Target="https://leetcode.com/problemset/" TargetMode="External"/><Relationship Id="rId100" Type="http://schemas.openxmlformats.org/officeDocument/2006/relationships/hyperlink" Target="https://www.youtube.com/results?search_query=DSA+Backtracking%2C+maths+%26+advanced+trees" TargetMode="External"/><Relationship Id="rId101" Type="http://schemas.openxmlformats.org/officeDocument/2006/relationships/hyperlink" Target="https://neetcode.io/roadmap" TargetMode="External"/><Relationship Id="rId102" Type="http://schemas.openxmlformats.org/officeDocument/2006/relationships/hyperlink" Target="https://www.youtube.com/results?search_query=DSA+Backtracking%2C+maths+%26+advanced+trees" TargetMode="External"/><Relationship Id="rId103" Type="http://schemas.openxmlformats.org/officeDocument/2006/relationships/hyperlink" Target="https://cp-algorithms.com/" TargetMode="External"/><Relationship Id="rId104" Type="http://schemas.openxmlformats.org/officeDocument/2006/relationships/hyperlink" Target="https://www.youtube.com/results?search_query=DSA+Backtracking%2C+maths+%26+advanced+trees" TargetMode="External"/><Relationship Id="rId105" Type="http://schemas.openxmlformats.org/officeDocument/2006/relationships/hyperlink" Target="https://leetcode.com/problemset/" TargetMode="External"/><Relationship Id="rId106" Type="http://schemas.openxmlformats.org/officeDocument/2006/relationships/hyperlink" Target="https://www.youtube.com/results?search_query=DSA+Backtracking%2C+maths+%26+advanced+trees" TargetMode="External"/><Relationship Id="rId107" Type="http://schemas.openxmlformats.org/officeDocument/2006/relationships/hyperlink" Target="https://neetcode.io/roadmap" TargetMode="External"/><Relationship Id="rId108" Type="http://schemas.openxmlformats.org/officeDocument/2006/relationships/hyperlink" Target="https://www.youtube.com/results?search_query=DSA+Heaps%2C+greedy%2C+DP+%26+graphs" TargetMode="External"/><Relationship Id="rId109" Type="http://schemas.openxmlformats.org/officeDocument/2006/relationships/hyperlink" Target="https://cp-algorithms.com/" TargetMode="External"/><Relationship Id="rId110" Type="http://schemas.openxmlformats.org/officeDocument/2006/relationships/hyperlink" Target="https://www.youtube.com/results?search_query=DSA+Heaps%2C+greedy%2C+DP+%26+graphs" TargetMode="External"/><Relationship Id="rId111" Type="http://schemas.openxmlformats.org/officeDocument/2006/relationships/hyperlink" Target="https://leetcode.com/problemset/" TargetMode="External"/><Relationship Id="rId112" Type="http://schemas.openxmlformats.org/officeDocument/2006/relationships/hyperlink" Target="https://www.youtube.com/results?search_query=DSA+Heaps%2C+greedy%2C+DP+%26+graphs" TargetMode="External"/><Relationship Id="rId113" Type="http://schemas.openxmlformats.org/officeDocument/2006/relationships/hyperlink" Target="https://neetcode.io/roadmap" TargetMode="External"/><Relationship Id="rId114" Type="http://schemas.openxmlformats.org/officeDocument/2006/relationships/hyperlink" Target="https://www.youtube.com/results?search_query=DSA+Heaps%2C+greedy%2C+DP+%26+graphs" TargetMode="External"/><Relationship Id="rId115" Type="http://schemas.openxmlformats.org/officeDocument/2006/relationships/hyperlink" Target="https://github.com/donnemartin/system-design-primer" TargetMode="External"/><Relationship Id="rId116" Type="http://schemas.openxmlformats.org/officeDocument/2006/relationships/hyperlink" Target="https://www.youtube.com/results?search_query=system+design+Foundations+%26+modern+infrastructure" TargetMode="External"/><Relationship Id="rId117" Type="http://schemas.openxmlformats.org/officeDocument/2006/relationships/hyperlink" Target="https://highscalability.com/" TargetMode="External"/><Relationship Id="rId118" Type="http://schemas.openxmlformats.org/officeDocument/2006/relationships/hyperlink" Target="https://www.youtube.com/results?search_query=system+design+Load+balancing+%26+consistent+hashing" TargetMode="External"/><Relationship Id="rId119" Type="http://schemas.openxmlformats.org/officeDocument/2006/relationships/hyperlink" Target="https://kafka.apache.org/documentation/" TargetMode="External"/><Relationship Id="rId120" Type="http://schemas.openxmlformats.org/officeDocument/2006/relationships/hyperlink" Target="https://www.youtube.com/results?search_query=system+design+Caching+%26+CDN" TargetMode="External"/><Relationship Id="rId121" Type="http://schemas.openxmlformats.org/officeDocument/2006/relationships/hyperlink" Target="https://github.com/donnemartin/system-design-primer" TargetMode="External"/><Relationship Id="rId122" Type="http://schemas.openxmlformats.org/officeDocument/2006/relationships/hyperlink" Target="https://www.youtube.com/results?search_query=system+design+Replication%2C+CAP+%26+sharding" TargetMode="External"/><Relationship Id="rId123" Type="http://schemas.openxmlformats.org/officeDocument/2006/relationships/hyperlink" Target="https://highscalability.com/" TargetMode="External"/><Relationship Id="rId124" Type="http://schemas.openxmlformats.org/officeDocument/2006/relationships/hyperlink" Target="https://www.youtube.com/results?search_query=system+design+Messaging+queues+%28Kafka%29+%26+microservices" TargetMode="External"/><Relationship Id="rId125" Type="http://schemas.openxmlformats.org/officeDocument/2006/relationships/hyperlink" Target="https://kafka.apache.org/documentation/" TargetMode="External"/><Relationship Id="rId126" Type="http://schemas.openxmlformats.org/officeDocument/2006/relationships/hyperlink" Target="https://www.youtube.com/results?search_query=system+design+Typeahead%2C+messaging%2C+Uber%2C+e-commerce" TargetMode="External"/><Relationship Id="rId127" Type="http://schemas.openxmlformats.org/officeDocument/2006/relationships/hyperlink" Target="https://angular.dev/tutorials" TargetMode="External"/><Relationship Id="rId128" Type="http://schemas.openxmlformats.org/officeDocument/2006/relationships/hyperlink" Target="https://www.youtube.com/results?search_query=Angular+Intro+to+Angular+%26+application+architecture" TargetMode="External"/><Relationship Id="rId129" Type="http://schemas.openxmlformats.org/officeDocument/2006/relationships/hyperlink" Target="https://angular.dev/overview" TargetMode="External"/><Relationship Id="rId130" Type="http://schemas.openxmlformats.org/officeDocument/2006/relationships/hyperlink" Target="https://www.youtube.com/results?search_query=Angular+NgModules+%26+components" TargetMode="External"/><Relationship Id="rId131" Type="http://schemas.openxmlformats.org/officeDocument/2006/relationships/hyperlink" Target="https://nodejs.org/en/learn" TargetMode="External"/><Relationship Id="rId132" Type="http://schemas.openxmlformats.org/officeDocument/2006/relationships/hyperlink" Target="https://www.youtube.com/results?search_query=Angular+Template+routing+%26+forms" TargetMode="External"/><Relationship Id="rId133" Type="http://schemas.openxmlformats.org/officeDocument/2006/relationships/hyperlink" Target="https://angular.dev/tutorials" TargetMode="External"/><Relationship Id="rId134" Type="http://schemas.openxmlformats.org/officeDocument/2006/relationships/hyperlink" Target="https://www.youtube.com/results?search_query=Angular+Server+communication+%28GET%2FPOST%2FPUT%2FDELETE%29" TargetMode="External"/><Relationship Id="rId135" Type="http://schemas.openxmlformats.org/officeDocument/2006/relationships/hyperlink" Target="https://www.php.net/manual/en/" TargetMode="External"/><Relationship Id="rId136" Type="http://schemas.openxmlformats.org/officeDocument/2006/relationships/hyperlink" Target="https://www.youtube.com/results?search_query=PHP+Laravel+PHP+crash+course+%26+embedding+PHP+in+HTML" TargetMode="External"/><Relationship Id="rId137" Type="http://schemas.openxmlformats.org/officeDocument/2006/relationships/hyperlink" Target="https://laravel.com/docs" TargetMode="External"/><Relationship Id="rId138" Type="http://schemas.openxmlformats.org/officeDocument/2006/relationships/hyperlink" Target="https://www.youtube.com/results?search_query=PHP+Laravel+Storing+%26+retrieving+data%3B+arrays" TargetMode="External"/><Relationship Id="rId139" Type="http://schemas.openxmlformats.org/officeDocument/2006/relationships/hyperlink" Target="https://dev.mysql.com/doc/" TargetMode="External"/><Relationship Id="rId140" Type="http://schemas.openxmlformats.org/officeDocument/2006/relationships/hyperlink" Target="https://www.youtube.com/results?search_query=PHP+Laravel+Reusing+code+%26+writing+functions" TargetMode="External"/><Relationship Id="rId141" Type="http://schemas.openxmlformats.org/officeDocument/2006/relationships/hyperlink" Target="https://www.php.net/manual/en/" TargetMode="External"/><Relationship Id="rId142" Type="http://schemas.openxmlformats.org/officeDocument/2006/relationships/hyperlink" Target="https://www.youtube.com/results?search_query=PHP+Laravel+Object-oriented+PHP" TargetMode="External"/><Relationship Id="rId143" Type="http://schemas.openxmlformats.org/officeDocument/2006/relationships/hyperlink" Target="https://laravel.com/docs" TargetMode="External"/><Relationship Id="rId144" Type="http://schemas.openxmlformats.org/officeDocument/2006/relationships/hyperlink" Target="https://www.youtube.com/results?search_query=PHP+Laravel+Designing+%26+creating+your+web+database+in+MySQL" TargetMode="External"/><Relationship Id="rId145" Type="http://schemas.openxmlformats.org/officeDocument/2006/relationships/hyperlink" Target="https://dev.mysql.com/doc/" TargetMode="External"/><Relationship Id="rId146" Type="http://schemas.openxmlformats.org/officeDocument/2006/relationships/hyperlink" Target="https://www.youtube.com/results?search_query=PHP+Laravel+Accessing+MySQL+from+the+web+with+PHP" TargetMode="External"/><Relationship Id="rId147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freecodecamp.org/learn" TargetMode="External"/><Relationship Id="rId2" Type="http://schemas.openxmlformats.org/officeDocument/2006/relationships/hyperlink" Target="https://dev.java/learn/" TargetMode="External"/><Relationship Id="rId3" Type="http://schemas.openxmlformats.org/officeDocument/2006/relationships/hyperlink" Target="https://www.geeksforgeeks.org/" TargetMode="External"/><Relationship Id="rId4" Type="http://schemas.openxmlformats.org/officeDocument/2006/relationships/hyperlink" Target="https://www.youtube.com/results?search_query=programming+loops+conditions+for+beginners+full+course" TargetMode="External"/><Relationship Id="rId5" Type="http://schemas.openxmlformats.org/officeDocument/2006/relationships/hyperlink" Target="https://www.freecodecamp.org/learn" TargetMode="External"/><Relationship Id="rId6" Type="http://schemas.openxmlformats.org/officeDocument/2006/relationships/hyperlink" Target="https://dev.java/learn/" TargetMode="External"/><Relationship Id="rId7" Type="http://schemas.openxmlformats.org/officeDocument/2006/relationships/hyperlink" Target="https://www.geeksforgeeks.org/" TargetMode="External"/><Relationship Id="rId8" Type="http://schemas.openxmlformats.org/officeDocument/2006/relationships/hyperlink" Target="https://www.youtube.com/results?search_query=programming+functions+arrays+strings+full+course" TargetMode="External"/><Relationship Id="rId9" Type="http://schemas.openxmlformats.org/officeDocument/2006/relationships/hyperlink" Target="https://neetcode.io/roadmap" TargetMode="External"/><Relationship Id="rId10" Type="http://schemas.openxmlformats.org/officeDocument/2006/relationships/hyperlink" Target="https://www.geeksforgeeks.org/data-structures/" TargetMode="External"/><Relationship Id="rId11" Type="http://schemas.openxmlformats.org/officeDocument/2006/relationships/hyperlink" Target="https://leetcode.com/problemset/" TargetMode="External"/><Relationship Id="rId12" Type="http://schemas.openxmlformats.org/officeDocument/2006/relationships/hyperlink" Target="https://www.youtube.com/results?search_query=DSA+arrays+prefix+sum+full+course" TargetMode="External"/><Relationship Id="rId13" Type="http://schemas.openxmlformats.org/officeDocument/2006/relationships/hyperlink" Target="https://docs.n8n.io/" TargetMode="External"/><Relationship Id="rId14" Type="http://schemas.openxmlformats.org/officeDocument/2006/relationships/hyperlink" Target="https://docs.claude.com/en/docs/build-with-claude/prompt-engineering/overview" TargetMode="External"/><Relationship Id="rId15" Type="http://schemas.openxmlformats.org/officeDocument/2006/relationships/hyperlink" Target="https://platform.openai.com/docs/guides/prompt-engineering" TargetMode="External"/><Relationship Id="rId16" Type="http://schemas.openxmlformats.org/officeDocument/2006/relationships/hyperlink" Target="https://www.youtube.com/results?search_query=AI+agents+n8n+RAG+prompt+engineering+full+course" TargetMode="External"/><Relationship Id="rId17" Type="http://schemas.openxmlformats.org/officeDocument/2006/relationships/hyperlink" Target="https://www.geeksforgeeks.org/data-structures/" TargetMode="External"/><Relationship Id="rId18" Type="http://schemas.openxmlformats.org/officeDocument/2006/relationships/hyperlink" Target="https://cp-algorithms.com/" TargetMode="External"/><Relationship Id="rId19" Type="http://schemas.openxmlformats.org/officeDocument/2006/relationships/hyperlink" Target="https://leetcode.com/problemset/" TargetMode="External"/><Relationship Id="rId20" Type="http://schemas.openxmlformats.org/officeDocument/2006/relationships/hyperlink" Target="https://www.youtube.com/results?search_query=DSA+full+course" TargetMode="External"/><Relationship Id="rId21" Type="http://schemas.openxmlformats.org/officeDocument/2006/relationships/hyperlink" Target="https://www.geeksforgeeks.org/data-structures/" TargetMode="External"/><Relationship Id="rId22" Type="http://schemas.openxmlformats.org/officeDocument/2006/relationships/hyperlink" Target="https://neetcode.io/roadmap" TargetMode="External"/><Relationship Id="rId23" Type="http://schemas.openxmlformats.org/officeDocument/2006/relationships/hyperlink" Target="https://leetcode.com/problemset/" TargetMode="External"/><Relationship Id="rId24" Type="http://schemas.openxmlformats.org/officeDocument/2006/relationships/hyperlink" Target="https://www.youtube.com/results?search_query=DSA+full+course" TargetMode="External"/><Relationship Id="rId25" Type="http://schemas.openxmlformats.org/officeDocument/2006/relationships/hyperlink" Target="https://www.geeksforgeeks.org/data-structures/" TargetMode="External"/><Relationship Id="rId26" Type="http://schemas.openxmlformats.org/officeDocument/2006/relationships/hyperlink" Target="https://cp-algorithms.com/" TargetMode="External"/><Relationship Id="rId27" Type="http://schemas.openxmlformats.org/officeDocument/2006/relationships/hyperlink" Target="https://leetcode.com/problemset/" TargetMode="External"/><Relationship Id="rId28" Type="http://schemas.openxmlformats.org/officeDocument/2006/relationships/hyperlink" Target="https://www.youtube.com/results?search_query=DSA+full+course" TargetMode="External"/><Relationship Id="rId29" Type="http://schemas.openxmlformats.org/officeDocument/2006/relationships/hyperlink" Target="https://cp-algorithms.com/" TargetMode="External"/><Relationship Id="rId30" Type="http://schemas.openxmlformats.org/officeDocument/2006/relationships/hyperlink" Target="https://neetcode.io/roadmap" TargetMode="External"/><Relationship Id="rId31" Type="http://schemas.openxmlformats.org/officeDocument/2006/relationships/hyperlink" Target="https://leetcode.com/problemset/" TargetMode="External"/><Relationship Id="rId32" Type="http://schemas.openxmlformats.org/officeDocument/2006/relationships/hyperlink" Target="https://www.youtube.com/results?search_query=DSA+full+course" TargetMode="External"/><Relationship Id="rId33" Type="http://schemas.openxmlformats.org/officeDocument/2006/relationships/hyperlink" Target="https://sqlbolt.com/" TargetMode="External"/><Relationship Id="rId34" Type="http://schemas.openxmlformats.org/officeDocument/2006/relationships/hyperlink" Target="https://www.w3schools.com/sql/" TargetMode="External"/><Relationship Id="rId35" Type="http://schemas.openxmlformats.org/officeDocument/2006/relationships/hyperlink" Target="https://mode.com/sql-tutorial/" TargetMode="External"/><Relationship Id="rId36" Type="http://schemas.openxmlformats.org/officeDocument/2006/relationships/hyperlink" Target="https://www.youtube.com/results?search_query=SQL+full+course" TargetMode="External"/><Relationship Id="rId37" Type="http://schemas.openxmlformats.org/officeDocument/2006/relationships/hyperlink" Target="https://dev.java/learn/" TargetMode="External"/><Relationship Id="rId38" Type="http://schemas.openxmlformats.org/officeDocument/2006/relationships/hyperlink" Target="https://docs.oracle.com/javase/tutorial/essential/concurrency/" TargetMode="External"/><Relationship Id="rId39" Type="http://schemas.openxmlformats.org/officeDocument/2006/relationships/hyperlink" Target="https://refactoring.guru/design-patterns" TargetMode="External"/><Relationship Id="rId40" Type="http://schemas.openxmlformats.org/officeDocument/2006/relationships/hyperlink" Target="https://www.youtube.com/results?search_query=Java+full+course" TargetMode="External"/><Relationship Id="rId41" Type="http://schemas.openxmlformats.org/officeDocument/2006/relationships/hyperlink" Target="https://refactoring.guru/design-patterns" TargetMode="External"/><Relationship Id="rId42" Type="http://schemas.openxmlformats.org/officeDocument/2006/relationships/hyperlink" Target="https://refactoring.guru/design-patterns/catalog" TargetMode="External"/><Relationship Id="rId43" Type="http://schemas.openxmlformats.org/officeDocument/2006/relationships/hyperlink" Target="https://www.visual-paradigm.com/guide/uml-unified-modeling-language/" TargetMode="External"/><Relationship Id="rId44" Type="http://schemas.openxmlformats.org/officeDocument/2006/relationships/hyperlink" Target="https://www.youtube.com/results?search_query=design+patterns+SOLID+full+course" TargetMode="External"/><Relationship Id="rId45" Type="http://schemas.openxmlformats.org/officeDocument/2006/relationships/hyperlink" Target="https://refactoring.guru/design-patterns" TargetMode="External"/><Relationship Id="rId46" Type="http://schemas.openxmlformats.org/officeDocument/2006/relationships/hyperlink" Target="https://dev.java/learn/" TargetMode="External"/><Relationship Id="rId47" Type="http://schemas.openxmlformats.org/officeDocument/2006/relationships/hyperlink" Target="https://www.interviewbit.com/" TargetMode="External"/><Relationship Id="rId48" Type="http://schemas.openxmlformats.org/officeDocument/2006/relationships/hyperlink" Target="https://www.youtube.com/results?search_query=low+level+design+machine+coding+full+course" TargetMode="External"/><Relationship Id="rId49" Type="http://schemas.openxmlformats.org/officeDocument/2006/relationships/hyperlink" Target="https://spring.io/guides" TargetMode="External"/><Relationship Id="rId50" Type="http://schemas.openxmlformats.org/officeDocument/2006/relationships/hyperlink" Target="https://git-scm.com/book/en/v2" TargetMode="External"/><Relationship Id="rId51" Type="http://schemas.openxmlformats.org/officeDocument/2006/relationships/hyperlink" Target="https://jwt.io/introduction" TargetMode="External"/><Relationship Id="rId52" Type="http://schemas.openxmlformats.org/officeDocument/2006/relationships/hyperlink" Target="https://www.youtube.com/results?search_query=Spring+Boot+full+course" TargetMode="External"/><Relationship Id="rId53" Type="http://schemas.openxmlformats.org/officeDocument/2006/relationships/hyperlink" Target="https://docs.spring.io/spring-boot/index.html" TargetMode="External"/><Relationship Id="rId54" Type="http://schemas.openxmlformats.org/officeDocument/2006/relationships/hyperlink" Target="https://docs.docker.com/get-started/" TargetMode="External"/><Relationship Id="rId55" Type="http://schemas.openxmlformats.org/officeDocument/2006/relationships/hyperlink" Target="https://aws.amazon.com/getting-started/" TargetMode="External"/><Relationship Id="rId56" Type="http://schemas.openxmlformats.org/officeDocument/2006/relationships/hyperlink" Target="https://www.youtube.com/results?search_query=Spring+Boot+microservices+full+course" TargetMode="External"/><Relationship Id="rId57" Type="http://schemas.openxmlformats.org/officeDocument/2006/relationships/hyperlink" Target="https://github.com/donnemartin/system-design-primer" TargetMode="External"/><Relationship Id="rId58" Type="http://schemas.openxmlformats.org/officeDocument/2006/relationships/hyperlink" Target="https://highscalability.com/" TargetMode="External"/><Relationship Id="rId59" Type="http://schemas.openxmlformats.org/officeDocument/2006/relationships/hyperlink" Target="https://kafka.apache.org/documentation/" TargetMode="External"/><Relationship Id="rId60" Type="http://schemas.openxmlformats.org/officeDocument/2006/relationships/hyperlink" Target="https://www.youtube.com/results?search_query=system+design+full+course" TargetMode="External"/><Relationship Id="rId61" Type="http://schemas.openxmlformats.org/officeDocument/2006/relationships/hyperlink" Target="https://www.interviewbit.com/" TargetMode="External"/><Relationship Id="rId62" Type="http://schemas.openxmlformats.org/officeDocument/2006/relationships/hyperlink" Target="https://leetcode.com/" TargetMode="External"/><Relationship Id="rId63" Type="http://schemas.openxmlformats.org/officeDocument/2006/relationships/hyperlink" Target="https://github.com/donnemartin/system-design-primer" TargetMode="External"/><Relationship Id="rId64" Type="http://schemas.openxmlformats.org/officeDocument/2006/relationships/hyperlink" Target="https://www.youtube.com/results?search_query=coding+interview+mock+full+course" TargetMode="External"/><Relationship Id="rId65" Type="http://schemas.openxmlformats.org/officeDocument/2006/relationships/hyperlink" Target="https://platform.openai.com/docs" TargetMode="External"/><Relationship Id="rId66" Type="http://schemas.openxmlformats.org/officeDocument/2006/relationships/hyperlink" Target="https://docs.claude.com/en/docs/welcome" TargetMode="External"/><Relationship Id="rId67" Type="http://schemas.openxmlformats.org/officeDocument/2006/relationships/hyperlink" Target="https://python.langchain.com/docs/introduction/" TargetMode="External"/><Relationship Id="rId68" Type="http://schemas.openxmlformats.org/officeDocument/2006/relationships/hyperlink" Target="https://www.youtube.com/results?search_query=LLM+API+backend+full+course" TargetMode="External"/><Relationship Id="rId69" Type="http://schemas.openxmlformats.org/officeDocument/2006/relationships/hyperlink" Target="https://cp-algorithms.com/" TargetMode="External"/><Relationship Id="rId70" Type="http://schemas.openxmlformats.org/officeDocument/2006/relationships/hyperlink" Target="https://neetcode.io/roadmap" TargetMode="External"/><Relationship Id="rId71" Type="http://schemas.openxmlformats.org/officeDocument/2006/relationships/hyperlink" Target="https://leetcode.com/problemset/" TargetMode="External"/><Relationship Id="rId72" Type="http://schemas.openxmlformats.org/officeDocument/2006/relationships/hyperlink" Target="https://www.youtube.com/results?search_query=advanced+DSA+tries+graphs+DP+full+course" TargetMode="External"/><Relationship Id="rId73" Type="http://schemas.openxmlformats.org/officeDocument/2006/relationships/hyperlink" Target="https://huggingface.co/learn" TargetMode="External"/><Relationship Id="rId74" Type="http://schemas.openxmlformats.org/officeDocument/2006/relationships/hyperlink" Target="https://platform.openai.com/docs" TargetMode="External"/><Relationship Id="rId75" Type="http://schemas.openxmlformats.org/officeDocument/2006/relationships/hyperlink" Target="https://docs.claude.com/en/docs/welcome" TargetMode="External"/><Relationship Id="rId76" Type="http://schemas.openxmlformats.org/officeDocument/2006/relationships/hyperlink" Target="https://www.youtube.com/results?search_query=generative+AI+RAG+agents+full+course" TargetMode="External"/><Relationship Id="rId77" Type="http://schemas.openxmlformats.org/officeDocument/2006/relationships/hyperlink" Target="https://spark.apache.org/docs/latest/" TargetMode="External"/><Relationship Id="rId78" Type="http://schemas.openxmlformats.org/officeDocument/2006/relationships/hyperlink" Target="https://hive.apache.org/" TargetMode="External"/><Relationship Id="rId79" Type="http://schemas.openxmlformats.org/officeDocument/2006/relationships/hyperlink" Target="https://kafka.apache.org/documentation/" TargetMode="External"/><Relationship Id="rId80" Type="http://schemas.openxmlformats.org/officeDocument/2006/relationships/hyperlink" Target="https://www.youtube.com/results?search_query=data+engineering+Spark+full+course" TargetMode="External"/><Relationship Id="rId81" Type="http://schemas.openxmlformats.org/officeDocument/2006/relationships/hyperlink" Target="https://www.atlassian.com/agile/product-management" TargetMode="External"/><Relationship Id="rId82" Type="http://schemas.openxmlformats.org/officeDocument/2006/relationships/hyperlink" Target="https://productschool.com/blog" TargetMode="External"/><Relationship Id="rId83" Type="http://schemas.openxmlformats.org/officeDocument/2006/relationships/hyperlink" Target="https://www.mindtheproduct.com/" TargetMode="External"/><Relationship Id="rId84" Type="http://schemas.openxmlformats.org/officeDocument/2006/relationships/hyperlink" Target="https://www.youtube.com/results?search_query=product+management+full+course" TargetMode="External"/><Relationship Id="rId85" Type="http://schemas.openxmlformats.org/officeDocument/2006/relationships/hyperlink" Target="https://developer.mozilla.org/en-US/docs/Learn_web_development" TargetMode="External"/><Relationship Id="rId86" Type="http://schemas.openxmlformats.org/officeDocument/2006/relationships/hyperlink" Target="https://web.dev/learn/css" TargetMode="External"/><Relationship Id="rId87" Type="http://schemas.openxmlformats.org/officeDocument/2006/relationships/hyperlink" Target="https://web.dev/learn/html" TargetMode="External"/><Relationship Id="rId88" Type="http://schemas.openxmlformats.org/officeDocument/2006/relationships/hyperlink" Target="https://www.youtube.com/results?search_query=HTML+CSS+full+course" TargetMode="External"/><Relationship Id="rId89" Type="http://schemas.openxmlformats.org/officeDocument/2006/relationships/hyperlink" Target="https://getbootstrap.com/docs/5.3/getting-started/introduction/" TargetMode="External"/><Relationship Id="rId90" Type="http://schemas.openxmlformats.org/officeDocument/2006/relationships/hyperlink" Target="https://developer.mozilla.org/en-US/docs/Learn_web_development/Core/CSS_layout" TargetMode="External"/><Relationship Id="rId91" Type="http://schemas.openxmlformats.org/officeDocument/2006/relationships/hyperlink" Target="https://getbootstrap.com/docs/5.3/examples/" TargetMode="External"/><Relationship Id="rId92" Type="http://schemas.openxmlformats.org/officeDocument/2006/relationships/hyperlink" Target="https://www.youtube.com/results?search_query=Bootstrap+5+full+course" TargetMode="External"/><Relationship Id="rId93" Type="http://schemas.openxmlformats.org/officeDocument/2006/relationships/hyperlink" Target="https://javascript.info/" TargetMode="External"/><Relationship Id="rId94" Type="http://schemas.openxmlformats.org/officeDocument/2006/relationships/hyperlink" Target="https://developer.mozilla.org/en-US/docs/Web/JavaScript" TargetMode="External"/><Relationship Id="rId95" Type="http://schemas.openxmlformats.org/officeDocument/2006/relationships/hyperlink" Target="https://javascript30.com/" TargetMode="External"/><Relationship Id="rId96" Type="http://schemas.openxmlformats.org/officeDocument/2006/relationships/hyperlink" Target="https://www.youtube.com/results?search_query=JavaScript+full+course" TargetMode="External"/><Relationship Id="rId97" Type="http://schemas.openxmlformats.org/officeDocument/2006/relationships/hyperlink" Target="https://javascript.info/prototypes" TargetMode="External"/><Relationship Id="rId98" Type="http://schemas.openxmlformats.org/officeDocument/2006/relationships/hyperlink" Target="https://javascript.info/classes" TargetMode="External"/><Relationship Id="rId99" Type="http://schemas.openxmlformats.org/officeDocument/2006/relationships/hyperlink" Target="https://developer.mozilla.org/en-US/docs/Web/JavaScript/Guide/Inheritance_and_the_prototype_chain" TargetMode="External"/><Relationship Id="rId100" Type="http://schemas.openxmlformats.org/officeDocument/2006/relationships/hyperlink" Target="https://www.youtube.com/results?search_query=JavaScript+prototypes+this+bind+polyfill+full+course" TargetMode="External"/><Relationship Id="rId101" Type="http://schemas.openxmlformats.org/officeDocument/2006/relationships/hyperlink" Target="https://learn.jquery.com/" TargetMode="External"/><Relationship Id="rId102" Type="http://schemas.openxmlformats.org/officeDocument/2006/relationships/hyperlink" Target="https://api.jquery.com/" TargetMode="External"/><Relationship Id="rId103" Type="http://schemas.openxmlformats.org/officeDocument/2006/relationships/hyperlink" Target="https://developer.mozilla.org/en-US/docs/Web/API/Document_Object_Model" TargetMode="External"/><Relationship Id="rId104" Type="http://schemas.openxmlformats.org/officeDocument/2006/relationships/hyperlink" Target="https://www.youtube.com/results?search_query=jQuery+full+course" TargetMode="External"/><Relationship Id="rId105" Type="http://schemas.openxmlformats.org/officeDocument/2006/relationships/hyperlink" Target="https://react.dev/learn" TargetMode="External"/><Relationship Id="rId106" Type="http://schemas.openxmlformats.org/officeDocument/2006/relationships/hyperlink" Target="https://redux.js.org/tutorials/essentials/part-1-overview-concepts" TargetMode="External"/><Relationship Id="rId107" Type="http://schemas.openxmlformats.org/officeDocument/2006/relationships/hyperlink" Target="https://reactrouter.com/start/library/installation" TargetMode="External"/><Relationship Id="rId108" Type="http://schemas.openxmlformats.org/officeDocument/2006/relationships/hyperlink" Target="https://www.youtube.com/results?search_query=React+full+course" TargetMode="External"/><Relationship Id="rId109" Type="http://schemas.openxmlformats.org/officeDocument/2006/relationships/hyperlink" Target="https://nodejs.org/en/learn" TargetMode="External"/><Relationship Id="rId110" Type="http://schemas.openxmlformats.org/officeDocument/2006/relationships/hyperlink" Target="https://expressjs.com/" TargetMode="External"/><Relationship Id="rId111" Type="http://schemas.openxmlformats.org/officeDocument/2006/relationships/hyperlink" Target="https://mongoosejs.com/docs/guide.html" TargetMode="External"/><Relationship Id="rId112" Type="http://schemas.openxmlformats.org/officeDocument/2006/relationships/hyperlink" Target="https://www.youtube.com/results?search_query=Node+Express+MongoDB+full+course" TargetMode="External"/><Relationship Id="rId113" Type="http://schemas.openxmlformats.org/officeDocument/2006/relationships/hyperlink" Target="https://owasp.org/www-project-top-ten/" TargetMode="External"/><Relationship Id="rId114" Type="http://schemas.openxmlformats.org/officeDocument/2006/relationships/hyperlink" Target="https://docs.docker.com/get-started/" TargetMode="External"/><Relationship Id="rId115" Type="http://schemas.openxmlformats.org/officeDocument/2006/relationships/hyperlink" Target="https://www.mongodb.com/docs/manual/" TargetMode="External"/><Relationship Id="rId116" Type="http://schemas.openxmlformats.org/officeDocument/2006/relationships/hyperlink" Target="https://www.youtube.com/results?search_query=Node.js+backend+security+testing+Docker+full+course" TargetMode="External"/><Relationship Id="rId117" Type="http://schemas.openxmlformats.org/officeDocument/2006/relationships/hyperlink" Target="https://www.typescriptlang.org/docs/handbook/intro.html" TargetMode="External"/><Relationship Id="rId118" Type="http://schemas.openxmlformats.org/officeDocument/2006/relationships/hyperlink" Target="https://nextjs.org/learn" TargetMode="External"/><Relationship Id="rId119" Type="http://schemas.openxmlformats.org/officeDocument/2006/relationships/hyperlink" Target="https://react.dev/reference/react/hooks" TargetMode="External"/><Relationship Id="rId120" Type="http://schemas.openxmlformats.org/officeDocument/2006/relationships/hyperlink" Target="https://www.youtube.com/results?search_query=React+TypeScript+Next.js+full+course" TargetMode="External"/><Relationship Id="rId121" Type="http://schemas.openxmlformats.org/officeDocument/2006/relationships/hyperlink" Target="https://platform.openai.com/docs" TargetMode="External"/><Relationship Id="rId122" Type="http://schemas.openxmlformats.org/officeDocument/2006/relationships/hyperlink" Target="https://docs.claude.com/en/docs/welcome" TargetMode="External"/><Relationship Id="rId123" Type="http://schemas.openxmlformats.org/officeDocument/2006/relationships/hyperlink" Target="https://docs.github.com/en/copilot" TargetMode="External"/><Relationship Id="rId124" Type="http://schemas.openxmlformats.org/officeDocument/2006/relationships/hyperlink" Target="https://www.youtube.com/results?search_query=AI+coding+assistant+full+stack+full+course" TargetMode="External"/><Relationship Id="rId125" Type="http://schemas.openxmlformats.org/officeDocument/2006/relationships/hyperlink" Target="https://docs.github.com/en/get-started" TargetMode="External"/><Relationship Id="rId126" Type="http://schemas.openxmlformats.org/officeDocument/2006/relationships/hyperlink" Target="https://vercel.com/docs" TargetMode="External"/><Relationship Id="rId127" Type="http://schemas.openxmlformats.org/officeDocument/2006/relationships/hyperlink" Target="https://render.com/docs" TargetMode="External"/><Relationship Id="rId128" Type="http://schemas.openxmlformats.org/officeDocument/2006/relationships/hyperlink" Target="https://www.youtube.com/results?search_query=full+stack+project+deploy+full+course" TargetMode="External"/><Relationship Id="rId129" Type="http://schemas.openxmlformats.org/officeDocument/2006/relationships/hyperlink" Target="https://neetcode.io/roadmap" TargetMode="External"/><Relationship Id="rId130" Type="http://schemas.openxmlformats.org/officeDocument/2006/relationships/hyperlink" Target="https://cp-algorithms.com/" TargetMode="External"/><Relationship Id="rId131" Type="http://schemas.openxmlformats.org/officeDocument/2006/relationships/hyperlink" Target="https://leetcode.com/problemset/" TargetMode="External"/><Relationship Id="rId132" Type="http://schemas.openxmlformats.org/officeDocument/2006/relationships/hyperlink" Target="https://www.youtube.com/results?search_query=DSA+full+course" TargetMode="External"/><Relationship Id="rId133" Type="http://schemas.openxmlformats.org/officeDocument/2006/relationships/hyperlink" Target="https://github.com/donnemartin/system-design-primer" TargetMode="External"/><Relationship Id="rId134" Type="http://schemas.openxmlformats.org/officeDocument/2006/relationships/hyperlink" Target="https://highscalability.com/" TargetMode="External"/><Relationship Id="rId135" Type="http://schemas.openxmlformats.org/officeDocument/2006/relationships/hyperlink" Target="https://kafka.apache.org/documentation/" TargetMode="External"/><Relationship Id="rId136" Type="http://schemas.openxmlformats.org/officeDocument/2006/relationships/hyperlink" Target="https://www.youtube.com/results?search_query=system+design+full+course" TargetMode="External"/><Relationship Id="rId137" Type="http://schemas.openxmlformats.org/officeDocument/2006/relationships/hyperlink" Target="https://angular.dev/tutorials" TargetMode="External"/><Relationship Id="rId138" Type="http://schemas.openxmlformats.org/officeDocument/2006/relationships/hyperlink" Target="https://angular.dev/overview" TargetMode="External"/><Relationship Id="rId139" Type="http://schemas.openxmlformats.org/officeDocument/2006/relationships/hyperlink" Target="https://nodejs.org/en/learn" TargetMode="External"/><Relationship Id="rId140" Type="http://schemas.openxmlformats.org/officeDocument/2006/relationships/hyperlink" Target="https://www.youtube.com/results?search_query=Angular+full+course" TargetMode="External"/><Relationship Id="rId141" Type="http://schemas.openxmlformats.org/officeDocument/2006/relationships/hyperlink" Target="https://www.php.net/manual/en/" TargetMode="External"/><Relationship Id="rId142" Type="http://schemas.openxmlformats.org/officeDocument/2006/relationships/hyperlink" Target="https://laravel.com/docs" TargetMode="External"/><Relationship Id="rId143" Type="http://schemas.openxmlformats.org/officeDocument/2006/relationships/hyperlink" Target="https://dev.mysql.com/doc/" TargetMode="External"/><Relationship Id="rId144" Type="http://schemas.openxmlformats.org/officeDocument/2006/relationships/hyperlink" Target="https://www.youtube.com/results?search_query=PHP+Laravel+full+course" TargetMode="External"/><Relationship Id="rId145" Type="http://schemas.openxmlformats.org/officeDocument/2006/relationships/hyperlink" Target="https://leetcode.com/problemset/" TargetMode="External"/><Relationship Id="rId146" Type="http://schemas.openxmlformats.org/officeDocument/2006/relationships/hyperlink" Target="https://www.interviewbit.com/" TargetMode="External"/><Relationship Id="rId147" Type="http://schemas.openxmlformats.org/officeDocument/2006/relationships/hyperlink" Target="https://neetcode.io/practice" TargetMode="External"/><Relationship Id="rId148" Type="http://schemas.openxmlformats.org/officeDocument/2006/relationships/hyperlink" Target="https://www.hackerrank.com/domains/sql" TargetMode="External"/><Relationship Id="rId149" Type="http://schemas.openxmlformats.org/officeDocument/2006/relationships/hyperlink" Target="https://www.frontendmentor.io/challenges" TargetMode="External"/><Relationship Id="rId150" Type="http://schemas.openxmlformats.org/officeDocument/2006/relationships/hyperlink" Target="https://www.greatfrontend.com/" TargetMode="External"/><Relationship Id="rId151" Type="http://schemas.openxmlformats.org/officeDocument/2006/relationships/hyperlink" Target="https://www.theodinproject.com/paths/full-stack-javascript" TargetMode="External"/><Relationship Id="rId152" Type="http://schemas.openxmlformats.org/officeDocument/2006/relationships/hyperlink" Target="https://roadmap.sh/" TargetMode="External"/><Relationship Id="rId153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12E81"/>
    <pageSetUpPr fitToPage="true"/>
  </sheetPr>
  <dimension ref="A1:K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10" min="4" style="0" width="13"/>
    <col collapsed="false" customWidth="true" hidden="false" outlineLevel="0" max="11" min="11" style="0" width="3"/>
  </cols>
  <sheetData>
    <row r="1" customFormat="false" ht="57.75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</row>
    <row r="2" customFormat="false" ht="24" hidden="false" customHeight="true" outlineLevel="0" collapsed="false">
      <c r="A2" s="4"/>
      <c r="B2" s="5" t="s">
        <v>1</v>
      </c>
      <c r="C2" s="6"/>
      <c r="D2" s="6"/>
      <c r="E2" s="6"/>
      <c r="F2" s="6"/>
      <c r="G2" s="6"/>
      <c r="H2" s="6"/>
      <c r="I2" s="6"/>
      <c r="J2" s="6"/>
      <c r="K2" s="6"/>
    </row>
    <row r="3" customFormat="false" ht="25.5" hidden="false" customHeight="true" outlineLevel="0" collapsed="false">
      <c r="B3" s="7" t="s">
        <v>2</v>
      </c>
      <c r="C3" s="8"/>
      <c r="D3" s="8"/>
      <c r="E3" s="8"/>
      <c r="F3" s="8"/>
      <c r="G3" s="8"/>
      <c r="H3" s="8"/>
      <c r="I3" s="8"/>
      <c r="J3" s="8"/>
    </row>
    <row r="4" customFormat="false" ht="25.5" hidden="false" customHeight="true" outlineLevel="0" collapsed="false">
      <c r="B4" s="9" t="s">
        <v>3</v>
      </c>
      <c r="C4" s="10" t="n">
        <v>46307</v>
      </c>
      <c r="D4" s="11" t="str">
        <f aca="false">IF(WEEKDAY(C4,2)=1,"✔ Monday","⚠ Not a Monday")</f>
        <v>✔ Monday</v>
      </c>
    </row>
    <row r="5" customFormat="false" ht="25.5" hidden="false" customHeight="true" outlineLevel="0" collapsed="false">
      <c r="B5" s="9" t="s">
        <v>4</v>
      </c>
      <c r="C5" s="12" t="n">
        <v>20</v>
      </c>
      <c r="D5" s="11" t="s">
        <v>5</v>
      </c>
    </row>
    <row r="6" customFormat="false" ht="25.5" hidden="false" customHeight="true" outlineLevel="0" collapsed="false">
      <c r="B6" s="9" t="s">
        <v>6</v>
      </c>
      <c r="C6" s="12" t="s">
        <v>7</v>
      </c>
      <c r="D6" s="11" t="s">
        <v>8</v>
      </c>
    </row>
    <row r="7" customFormat="false" ht="9.75" hidden="false" customHeight="true" outlineLevel="0" collapsed="false"/>
    <row r="8" customFormat="false" ht="25.5" hidden="false" customHeight="true" outlineLevel="0" collapsed="false">
      <c r="B8" s="13" t="s">
        <v>9</v>
      </c>
      <c r="C8" s="14"/>
      <c r="D8" s="14"/>
      <c r="E8" s="14"/>
      <c r="F8" s="14"/>
      <c r="G8" s="14"/>
      <c r="H8" s="14"/>
      <c r="I8" s="14"/>
      <c r="J8" s="14"/>
    </row>
    <row r="9" customFormat="false" ht="19.5" hidden="false" customHeight="true" outlineLevel="0" collapsed="false">
      <c r="B9" s="15" t="s">
        <v>10</v>
      </c>
      <c r="C9" s="16" t="s">
        <v>11</v>
      </c>
      <c r="D9" s="16"/>
      <c r="E9" s="16" t="s">
        <v>12</v>
      </c>
      <c r="F9" s="16"/>
      <c r="G9" s="16" t="s">
        <v>13</v>
      </c>
      <c r="H9" s="16"/>
      <c r="I9" s="16" t="s">
        <v>14</v>
      </c>
      <c r="J9" s="16"/>
    </row>
    <row r="10" customFormat="false" ht="30" hidden="false" customHeight="true" outlineLevel="0" collapsed="false">
      <c r="B10" s="15"/>
      <c r="C10" s="17" t="n">
        <f aca="false">COUNTIF('SDE Plan'!$B$6:$B$78,"Yes")</f>
        <v>39</v>
      </c>
      <c r="D10" s="17"/>
      <c r="E10" s="18" t="n">
        <f aca="false">COUNTIF('SDE Plan'!$B$6:$B$78,"Yes")*$C$5</f>
        <v>780</v>
      </c>
      <c r="F10" s="18"/>
      <c r="G10" s="19" t="n">
        <f aca="false">IF(COUNTIF('SDE Plan'!$B$6:$B$78,"Yes")=0,"—",MAX('SDE Plan'!$D$6:$D$78))</f>
        <v>46579</v>
      </c>
      <c r="H10" s="19"/>
      <c r="I10" s="20" t="n">
        <f aca="false">IF(COUNTIF('SDE Plan'!$B$6:$B$78,"Yes")=0,0,COUNTIFS('SDE Plan'!$B$6:$B$78,"Yes",'SDE Plan'!$L$6:$L$78,"Done")/COUNTIF('SDE Plan'!$B$6:$B$78,"Yes"))</f>
        <v>0</v>
      </c>
      <c r="J10" s="20"/>
    </row>
    <row r="11" customFormat="false" ht="24" hidden="false" customHeight="true" outlineLevel="0" collapsed="false">
      <c r="B11" s="15"/>
      <c r="C11" s="17"/>
      <c r="D11" s="17"/>
      <c r="E11" s="18"/>
      <c r="F11" s="18"/>
      <c r="G11" s="19"/>
      <c r="H11" s="19"/>
      <c r="I11" s="20"/>
      <c r="J11" s="20"/>
    </row>
    <row r="12" customFormat="false" ht="19.5" hidden="false" customHeight="true" outlineLevel="0" collapsed="false">
      <c r="B12" s="15"/>
      <c r="C12" s="21" t="str">
        <f aca="false">ROUND(COUNTIF('SDE Plan'!$B$6:$B$78,"Yes")/4.345,1)&amp;" months"&amp;IF(COUNTIF('SDE Plan'!$B$6:$B$78,"Yes")&lt;=39,"  ✔ fits 9 mo","  ⚠ over 9 mo")</f>
        <v>9 months  ✔ fits 9 mo</v>
      </c>
      <c r="D12" s="21"/>
      <c r="E12" s="21" t="str">
        <f aca="false">"at "&amp;$C$5&amp;" h / week"</f>
        <v>at 20 h / week</v>
      </c>
      <c r="F12" s="21"/>
      <c r="G12" s="21" t="str">
        <f aca="false">"starts "&amp;TEXT($C$4,"dd mmm yyyy")</f>
        <v>starts 12 Oct 2026</v>
      </c>
      <c r="H12" s="21"/>
      <c r="I12" s="21" t="str">
        <f aca="false">COUNTIFS('SDE Plan'!$B$6:$B$78,"Yes",'SDE Plan'!$L$6:$L$78,"Done")&amp;" of "&amp;COUNTIF('SDE Plan'!$B$6:$B$78,"Yes")&amp;" weeks done"</f>
        <v>0 of 39 weeks done</v>
      </c>
      <c r="J12" s="21"/>
    </row>
    <row r="13" customFormat="false" ht="9.75" hidden="false" customHeight="true" outlineLevel="0" collapsed="false"/>
    <row r="14" customFormat="false" ht="25.5" hidden="false" customHeight="true" outlineLevel="0" collapsed="false">
      <c r="B14" s="22" t="s">
        <v>15</v>
      </c>
      <c r="C14" s="23"/>
      <c r="D14" s="23"/>
      <c r="E14" s="23"/>
      <c r="F14" s="23"/>
      <c r="G14" s="23"/>
      <c r="H14" s="23"/>
      <c r="I14" s="23"/>
      <c r="J14" s="23"/>
    </row>
    <row r="15" customFormat="false" ht="19.5" hidden="false" customHeight="true" outlineLevel="0" collapsed="false">
      <c r="B15" s="24" t="s">
        <v>16</v>
      </c>
      <c r="C15" s="25" t="s">
        <v>11</v>
      </c>
      <c r="D15" s="25"/>
      <c r="E15" s="25" t="s">
        <v>12</v>
      </c>
      <c r="F15" s="25"/>
      <c r="G15" s="25" t="s">
        <v>13</v>
      </c>
      <c r="H15" s="25"/>
      <c r="I15" s="25" t="s">
        <v>14</v>
      </c>
      <c r="J15" s="25"/>
    </row>
    <row r="16" customFormat="false" ht="30" hidden="false" customHeight="true" outlineLevel="0" collapsed="false">
      <c r="B16" s="24"/>
      <c r="C16" s="26" t="n">
        <f aca="false">COUNTIF('FullStack Plan'!$B$6:$B$78,"Yes")</f>
        <v>39</v>
      </c>
      <c r="D16" s="26"/>
      <c r="E16" s="27" t="n">
        <f aca="false">COUNTIF('FullStack Plan'!$B$6:$B$78,"Yes")*$C$5</f>
        <v>780</v>
      </c>
      <c r="F16" s="27"/>
      <c r="G16" s="28" t="n">
        <f aca="false">IF(COUNTIF('FullStack Plan'!$B$6:$B$78,"Yes")=0,"—",MAX('FullStack Plan'!$D$6:$D$78))</f>
        <v>46579</v>
      </c>
      <c r="H16" s="28"/>
      <c r="I16" s="29" t="n">
        <f aca="false">IF(COUNTIF('FullStack Plan'!$B$6:$B$78,"Yes")=0,0,COUNTIFS('FullStack Plan'!$B$6:$B$78,"Yes",'FullStack Plan'!$L$6:$L$78,"Done")/COUNTIF('FullStack Plan'!$B$6:$B$78,"Yes"))</f>
        <v>0</v>
      </c>
      <c r="J16" s="29"/>
    </row>
    <row r="17" customFormat="false" ht="24" hidden="false" customHeight="true" outlineLevel="0" collapsed="false">
      <c r="B17" s="24"/>
      <c r="C17" s="26"/>
      <c r="D17" s="26"/>
      <c r="E17" s="27"/>
      <c r="F17" s="27"/>
      <c r="G17" s="28"/>
      <c r="H17" s="28"/>
      <c r="I17" s="29"/>
      <c r="J17" s="29"/>
    </row>
    <row r="18" customFormat="false" ht="19.5" hidden="false" customHeight="true" outlineLevel="0" collapsed="false">
      <c r="B18" s="24"/>
      <c r="C18" s="21" t="str">
        <f aca="false">ROUND(COUNTIF('FullStack Plan'!$B$6:$B$78,"Yes")/4.345,1)&amp;" months"&amp;IF(COUNTIF('FullStack Plan'!$B$6:$B$78,"Yes")&lt;=39,"  ✔ fits 9 mo","  ⚠ over 9 mo")</f>
        <v>9 months  ✔ fits 9 mo</v>
      </c>
      <c r="D18" s="21"/>
      <c r="E18" s="21" t="str">
        <f aca="false">"at "&amp;$C$5&amp;" h / week"</f>
        <v>at 20 h / week</v>
      </c>
      <c r="F18" s="21"/>
      <c r="G18" s="21" t="str">
        <f aca="false">"starts "&amp;TEXT($C$4,"dd mmm yyyy")</f>
        <v>starts 12 Oct 2026</v>
      </c>
      <c r="H18" s="21"/>
      <c r="I18" s="21" t="str">
        <f aca="false">COUNTIFS('FullStack Plan'!$B$6:$B$78,"Yes",'FullStack Plan'!$L$6:$L$78,"Done")&amp;" of "&amp;COUNTIF('FullStack Plan'!$B$6:$B$78,"Yes")&amp;" weeks done"</f>
        <v>0 of 39 weeks done</v>
      </c>
      <c r="J18" s="21"/>
    </row>
    <row r="19" customFormat="false" ht="9.75" hidden="false" customHeight="true" outlineLevel="0" collapsed="false"/>
    <row r="20" customFormat="false" ht="25.5" hidden="false" customHeight="true" outlineLevel="0" collapsed="false">
      <c r="A20" s="30"/>
      <c r="B20" s="31" t="s">
        <v>17</v>
      </c>
      <c r="C20" s="32"/>
      <c r="D20" s="32"/>
      <c r="E20" s="32"/>
      <c r="F20" s="32"/>
      <c r="G20" s="32"/>
      <c r="H20" s="32"/>
      <c r="I20" s="32"/>
      <c r="J20" s="32"/>
      <c r="K20" s="30"/>
    </row>
    <row r="21" customFormat="false" ht="24" hidden="false" customHeight="true" outlineLevel="0" collapsed="false">
      <c r="A21" s="30"/>
      <c r="B21" s="33" t="s">
        <v>18</v>
      </c>
      <c r="C21" s="34" t="s">
        <v>19</v>
      </c>
      <c r="D21" s="34" t="s">
        <v>20</v>
      </c>
      <c r="E21" s="30"/>
      <c r="F21" s="30"/>
      <c r="G21" s="30"/>
      <c r="H21" s="30"/>
      <c r="I21" s="30"/>
      <c r="J21" s="30"/>
      <c r="K21" s="30"/>
    </row>
    <row r="22" customFormat="false" ht="21.75" hidden="false" customHeight="true" outlineLevel="0" collapsed="false">
      <c r="A22" s="30"/>
      <c r="B22" s="35" t="s">
        <v>21</v>
      </c>
      <c r="C22" s="36" t="n">
        <f aca="false">SUMIFS('Module Summary'!$D$5:$D$43,'Module Summary'!$B$5:$B$43,$B22,'Module Summary'!$A$5:$A$43,"SDE")</f>
        <v>0</v>
      </c>
      <c r="D22" s="36" t="n">
        <f aca="false">SUMIFS('Module Summary'!$D$5:$D$43,'Module Summary'!$B$5:$B$43,$B22,'Module Summary'!$A$5:$A$43,"Full-Stack")</f>
        <v>0</v>
      </c>
      <c r="E22" s="30"/>
      <c r="F22" s="30"/>
      <c r="G22" s="30"/>
      <c r="H22" s="30"/>
      <c r="I22" s="30"/>
      <c r="J22" s="30"/>
      <c r="K22" s="30"/>
    </row>
    <row r="23" customFormat="false" ht="21.75" hidden="false" customHeight="true" outlineLevel="0" collapsed="false">
      <c r="A23" s="30"/>
      <c r="B23" s="37" t="s">
        <v>22</v>
      </c>
      <c r="C23" s="36" t="n">
        <f aca="false">SUMIFS('Module Summary'!$D$5:$D$43,'Module Summary'!$B$5:$B$43,$B23,'Module Summary'!$A$5:$A$43,"SDE")</f>
        <v>0</v>
      </c>
      <c r="D23" s="36" t="n">
        <f aca="false">SUMIFS('Module Summary'!$D$5:$D$43,'Module Summary'!$B$5:$B$43,$B23,'Module Summary'!$A$5:$A$43,"Full-Stack")</f>
        <v>2</v>
      </c>
      <c r="E23" s="30"/>
      <c r="F23" s="30"/>
      <c r="G23" s="30"/>
      <c r="H23" s="30"/>
      <c r="I23" s="30"/>
      <c r="J23" s="30"/>
      <c r="K23" s="30"/>
    </row>
    <row r="24" customFormat="false" ht="21.75" hidden="false" customHeight="true" outlineLevel="0" collapsed="false">
      <c r="A24" s="30"/>
      <c r="B24" s="37" t="s">
        <v>23</v>
      </c>
      <c r="C24" s="36" t="n">
        <f aca="false">SUMIFS('Module Summary'!$D$5:$D$43,'Module Summary'!$B$5:$B$43,$B24,'Module Summary'!$A$5:$A$43,"SDE")</f>
        <v>2</v>
      </c>
      <c r="D24" s="36" t="n">
        <f aca="false">SUMIFS('Module Summary'!$D$5:$D$43,'Module Summary'!$B$5:$B$43,$B24,'Module Summary'!$A$5:$A$43,"Full-Stack")</f>
        <v>0</v>
      </c>
      <c r="E24" s="30"/>
      <c r="F24" s="30"/>
      <c r="G24" s="30"/>
      <c r="H24" s="30"/>
      <c r="I24" s="30"/>
      <c r="J24" s="30"/>
      <c r="K24" s="30"/>
    </row>
    <row r="25" customFormat="false" ht="21.75" hidden="false" customHeight="true" outlineLevel="0" collapsed="false">
      <c r="A25" s="30"/>
      <c r="B25" s="38" t="s">
        <v>24</v>
      </c>
      <c r="C25" s="36" t="n">
        <f aca="false">SUMIFS('Module Summary'!$D$5:$D$43,'Module Summary'!$B$5:$B$43,$B25,'Module Summary'!$A$5:$A$43,"SDE")</f>
        <v>0</v>
      </c>
      <c r="D25" s="36" t="n">
        <f aca="false">SUMIFS('Module Summary'!$D$5:$D$43,'Module Summary'!$B$5:$B$43,$B25,'Module Summary'!$A$5:$A$43,"Full-Stack")</f>
        <v>8</v>
      </c>
      <c r="E25" s="30"/>
      <c r="F25" s="30"/>
      <c r="G25" s="30"/>
      <c r="H25" s="30"/>
      <c r="I25" s="30"/>
      <c r="J25" s="30"/>
      <c r="K25" s="30"/>
    </row>
    <row r="26" customFormat="false" ht="21.75" hidden="false" customHeight="true" outlineLevel="0" collapsed="false">
      <c r="A26" s="30"/>
      <c r="B26" s="38" t="s">
        <v>25</v>
      </c>
      <c r="C26" s="36" t="n">
        <f aca="false">SUMIFS('Module Summary'!$D$5:$D$43,'Module Summary'!$B$5:$B$43,$B26,'Module Summary'!$A$5:$A$43,"SDE")</f>
        <v>2</v>
      </c>
      <c r="D26" s="36" t="n">
        <f aca="false">SUMIFS('Module Summary'!$D$5:$D$43,'Module Summary'!$B$5:$B$43,$B26,'Module Summary'!$A$5:$A$43,"Full-Stack")</f>
        <v>0</v>
      </c>
      <c r="E26" s="30"/>
      <c r="F26" s="30"/>
      <c r="G26" s="30"/>
      <c r="H26" s="30"/>
      <c r="I26" s="30"/>
      <c r="J26" s="30"/>
      <c r="K26" s="30"/>
    </row>
    <row r="27" customFormat="false" ht="21.75" hidden="false" customHeight="true" outlineLevel="0" collapsed="false">
      <c r="A27" s="30"/>
      <c r="B27" s="39" t="s">
        <v>26</v>
      </c>
      <c r="C27" s="36" t="n">
        <f aca="false">SUMIFS('Module Summary'!$D$5:$D$43,'Module Summary'!$B$5:$B$43,$B27,'Module Summary'!$A$5:$A$43,"SDE")</f>
        <v>0</v>
      </c>
      <c r="D27" s="36" t="n">
        <f aca="false">SUMIFS('Module Summary'!$D$5:$D$43,'Module Summary'!$B$5:$B$43,$B27,'Module Summary'!$A$5:$A$43,"Full-Stack")</f>
        <v>4</v>
      </c>
      <c r="E27" s="30"/>
      <c r="F27" s="30"/>
      <c r="G27" s="30"/>
      <c r="H27" s="30"/>
      <c r="I27" s="30"/>
      <c r="J27" s="30"/>
      <c r="K27" s="30"/>
    </row>
    <row r="28" customFormat="false" ht="21.75" hidden="false" customHeight="true" outlineLevel="0" collapsed="false">
      <c r="A28" s="30"/>
      <c r="B28" s="39" t="s">
        <v>27</v>
      </c>
      <c r="C28" s="36" t="n">
        <f aca="false">SUMIFS('Module Summary'!$D$5:$D$43,'Module Summary'!$B$5:$B$43,$B28,'Module Summary'!$A$5:$A$43,"SDE")</f>
        <v>13</v>
      </c>
      <c r="D28" s="36" t="n">
        <f aca="false">SUMIFS('Module Summary'!$D$5:$D$43,'Module Summary'!$B$5:$B$43,$B28,'Module Summary'!$A$5:$A$43,"Full-Stack")</f>
        <v>0</v>
      </c>
      <c r="E28" s="30"/>
      <c r="F28" s="30"/>
      <c r="G28" s="30"/>
      <c r="H28" s="30"/>
      <c r="I28" s="30"/>
      <c r="J28" s="30"/>
      <c r="K28" s="30"/>
    </row>
    <row r="29" customFormat="false" ht="21.75" hidden="false" customHeight="true" outlineLevel="0" collapsed="false">
      <c r="A29" s="30"/>
      <c r="B29" s="40" t="s">
        <v>28</v>
      </c>
      <c r="C29" s="36" t="n">
        <f aca="false">SUMIFS('Module Summary'!$D$5:$D$43,'Module Summary'!$B$5:$B$43,$B29,'Module Summary'!$A$5:$A$43,"SDE")</f>
        <v>2</v>
      </c>
      <c r="D29" s="36" t="n">
        <f aca="false">SUMIFS('Module Summary'!$D$5:$D$43,'Module Summary'!$B$5:$B$43,$B29,'Module Summary'!$A$5:$A$43,"Full-Stack")</f>
        <v>0</v>
      </c>
      <c r="E29" s="30"/>
      <c r="F29" s="30"/>
      <c r="G29" s="30"/>
      <c r="H29" s="30"/>
      <c r="I29" s="30"/>
      <c r="J29" s="30"/>
      <c r="K29" s="30"/>
    </row>
    <row r="30" customFormat="false" ht="21.75" hidden="false" customHeight="true" outlineLevel="0" collapsed="false">
      <c r="A30" s="30"/>
      <c r="B30" s="40" t="s">
        <v>29</v>
      </c>
      <c r="C30" s="36" t="n">
        <f aca="false">SUMIFS('Module Summary'!$D$5:$D$43,'Module Summary'!$B$5:$B$43,$B30,'Module Summary'!$A$5:$A$43,"SDE")</f>
        <v>0</v>
      </c>
      <c r="D30" s="36" t="n">
        <f aca="false">SUMIFS('Module Summary'!$D$5:$D$43,'Module Summary'!$B$5:$B$43,$B30,'Module Summary'!$A$5:$A$43,"Full-Stack")</f>
        <v>10</v>
      </c>
      <c r="E30" s="30"/>
      <c r="F30" s="30"/>
      <c r="G30" s="30"/>
      <c r="H30" s="30"/>
      <c r="I30" s="30"/>
      <c r="J30" s="30"/>
      <c r="K30" s="30"/>
    </row>
    <row r="31" customFormat="false" ht="21.75" hidden="false" customHeight="true" outlineLevel="0" collapsed="false">
      <c r="A31" s="30"/>
      <c r="B31" s="41" t="s">
        <v>30</v>
      </c>
      <c r="C31" s="36" t="n">
        <f aca="false">SUMIFS('Module Summary'!$D$5:$D$43,'Module Summary'!$B$5:$B$43,$B31,'Module Summary'!$A$5:$A$43,"SDE")</f>
        <v>14</v>
      </c>
      <c r="D31" s="36" t="n">
        <f aca="false">SUMIFS('Module Summary'!$D$5:$D$43,'Module Summary'!$B$5:$B$43,$B31,'Module Summary'!$A$5:$A$43,"Full-Stack")</f>
        <v>0</v>
      </c>
      <c r="E31" s="30"/>
      <c r="F31" s="30"/>
      <c r="G31" s="30"/>
      <c r="H31" s="30"/>
      <c r="I31" s="30"/>
      <c r="J31" s="30"/>
      <c r="K31" s="30"/>
    </row>
    <row r="32" customFormat="false" ht="21.75" hidden="false" customHeight="true" outlineLevel="0" collapsed="false">
      <c r="A32" s="30"/>
      <c r="B32" s="41" t="s">
        <v>31</v>
      </c>
      <c r="C32" s="36" t="n">
        <f aca="false">SUMIFS('Module Summary'!$D$5:$D$43,'Module Summary'!$B$5:$B$43,$B32,'Module Summary'!$A$5:$A$43,"SDE")</f>
        <v>0</v>
      </c>
      <c r="D32" s="36" t="n">
        <f aca="false">SUMIFS('Module Summary'!$D$5:$D$43,'Module Summary'!$B$5:$B$43,$B32,'Module Summary'!$A$5:$A$43,"Full-Stack")</f>
        <v>6</v>
      </c>
      <c r="E32" s="30"/>
      <c r="F32" s="30"/>
      <c r="G32" s="30"/>
      <c r="H32" s="30"/>
      <c r="I32" s="30"/>
      <c r="J32" s="30"/>
      <c r="K32" s="30"/>
    </row>
    <row r="33" customFormat="false" ht="21.75" hidden="false" customHeight="true" outlineLevel="0" collapsed="false">
      <c r="A33" s="30"/>
      <c r="B33" s="42" t="s">
        <v>32</v>
      </c>
      <c r="C33" s="36" t="n">
        <f aca="false">SUMIFS('Module Summary'!$D$5:$D$43,'Module Summary'!$B$5:$B$43,$B33,'Module Summary'!$A$5:$A$43,"SDE")</f>
        <v>0</v>
      </c>
      <c r="D33" s="36" t="n">
        <f aca="false">SUMIFS('Module Summary'!$D$5:$D$43,'Module Summary'!$B$5:$B$43,$B33,'Module Summary'!$A$5:$A$43,"Full-Stack")</f>
        <v>3</v>
      </c>
      <c r="E33" s="30"/>
      <c r="F33" s="30"/>
      <c r="G33" s="30"/>
      <c r="H33" s="30"/>
      <c r="I33" s="30"/>
      <c r="J33" s="30"/>
      <c r="K33" s="30"/>
    </row>
    <row r="34" customFormat="false" ht="21.75" hidden="false" customHeight="true" outlineLevel="0" collapsed="false">
      <c r="A34" s="30"/>
      <c r="B34" s="42" t="s">
        <v>33</v>
      </c>
      <c r="C34" s="36" t="n">
        <f aca="false">SUMIFS('Module Summary'!$D$5:$D$43,'Module Summary'!$B$5:$B$43,$B34,'Module Summary'!$A$5:$A$43,"SDE")</f>
        <v>4</v>
      </c>
      <c r="D34" s="36" t="n">
        <f aca="false">SUMIFS('Module Summary'!$D$5:$D$43,'Module Summary'!$B$5:$B$43,$B34,'Module Summary'!$A$5:$A$43,"Full-Stack")</f>
        <v>0</v>
      </c>
      <c r="E34" s="30"/>
      <c r="F34" s="30"/>
      <c r="G34" s="30"/>
      <c r="H34" s="30"/>
      <c r="I34" s="30"/>
      <c r="J34" s="30"/>
      <c r="K34" s="30"/>
    </row>
    <row r="35" customFormat="false" ht="21.75" hidden="false" customHeight="true" outlineLevel="0" collapsed="false">
      <c r="A35" s="30"/>
      <c r="B35" s="43" t="s">
        <v>34</v>
      </c>
      <c r="C35" s="36" t="n">
        <f aca="false">SUMIFS('Module Summary'!$D$5:$D$43,'Module Summary'!$B$5:$B$43,$B35,'Module Summary'!$A$5:$A$43,"SDE")</f>
        <v>2</v>
      </c>
      <c r="D35" s="36" t="n">
        <f aca="false">SUMIFS('Module Summary'!$D$5:$D$43,'Module Summary'!$B$5:$B$43,$B35,'Module Summary'!$A$5:$A$43,"Full-Stack")</f>
        <v>0</v>
      </c>
      <c r="E35" s="30"/>
      <c r="F35" s="30"/>
      <c r="G35" s="30"/>
      <c r="H35" s="30"/>
      <c r="I35" s="30"/>
      <c r="J35" s="30"/>
      <c r="K35" s="30"/>
    </row>
    <row r="36" customFormat="false" ht="21.75" hidden="false" customHeight="true" outlineLevel="0" collapsed="false">
      <c r="A36" s="30"/>
      <c r="B36" s="43" t="s">
        <v>35</v>
      </c>
      <c r="C36" s="36" t="n">
        <f aca="false">SUMIFS('Module Summary'!$D$5:$D$43,'Module Summary'!$B$5:$B$43,$B36,'Module Summary'!$A$5:$A$43,"SDE")</f>
        <v>0</v>
      </c>
      <c r="D36" s="36" t="n">
        <f aca="false">SUMIFS('Module Summary'!$D$5:$D$43,'Module Summary'!$B$5:$B$43,$B36,'Module Summary'!$A$5:$A$43,"Full-Stack")</f>
        <v>6</v>
      </c>
      <c r="E36" s="30"/>
      <c r="F36" s="30"/>
      <c r="G36" s="30"/>
      <c r="H36" s="30"/>
      <c r="I36" s="30"/>
      <c r="J36" s="30"/>
      <c r="K36" s="30"/>
    </row>
    <row r="37" customFormat="false" ht="21.75" hidden="false" customHeight="true" outlineLevel="0" collapsed="false">
      <c r="A37" s="30"/>
      <c r="B37" s="44" t="s">
        <v>36</v>
      </c>
      <c r="C37" s="36" t="n">
        <f aca="false">SUMIFS('Module Summary'!$D$5:$D$43,'Module Summary'!$B$5:$B$43,$B37,'Module Summary'!$A$5:$A$43,"SDE")</f>
        <v>0</v>
      </c>
      <c r="D37" s="36" t="n">
        <f aca="false">SUMIFS('Module Summary'!$D$5:$D$43,'Module Summary'!$B$5:$B$43,$B37,'Module Summary'!$A$5:$A$43,"Full-Stack")</f>
        <v>0</v>
      </c>
      <c r="E37" s="30"/>
      <c r="F37" s="30"/>
      <c r="G37" s="30"/>
      <c r="H37" s="30"/>
      <c r="I37" s="30"/>
      <c r="J37" s="30"/>
      <c r="K37" s="30"/>
    </row>
    <row r="38" customFormat="false" ht="21.75" hidden="false" customHeight="true" outlineLevel="0" collapsed="false">
      <c r="A38" s="30"/>
      <c r="B38" s="44" t="s">
        <v>37</v>
      </c>
      <c r="C38" s="36" t="n">
        <f aca="false">SUMIFS('Module Summary'!$D$5:$D$43,'Module Summary'!$B$5:$B$43,$B38,'Module Summary'!$A$5:$A$43,"SDE")</f>
        <v>0</v>
      </c>
      <c r="D38" s="36" t="n">
        <f aca="false">SUMIFS('Module Summary'!$D$5:$D$43,'Module Summary'!$B$5:$B$43,$B38,'Module Summary'!$A$5:$A$43,"Full-Stack")</f>
        <v>0</v>
      </c>
      <c r="E38" s="30"/>
      <c r="F38" s="30"/>
      <c r="G38" s="30"/>
      <c r="H38" s="30"/>
      <c r="I38" s="30"/>
      <c r="J38" s="30"/>
      <c r="K38" s="30"/>
    </row>
    <row r="39" customFormat="false" ht="24" hidden="false" customHeight="true" outlineLevel="0" collapsed="false">
      <c r="A39" s="30"/>
      <c r="B39" s="45" t="s">
        <v>38</v>
      </c>
      <c r="C39" s="46" t="n">
        <f aca="false">SUM(C22:C38)</f>
        <v>39</v>
      </c>
      <c r="D39" s="46" t="n">
        <f aca="false">SUM(D22:D38)</f>
        <v>39</v>
      </c>
      <c r="E39" s="30"/>
      <c r="F39" s="30"/>
      <c r="G39" s="30"/>
      <c r="H39" s="30"/>
      <c r="I39" s="30"/>
      <c r="J39" s="30"/>
      <c r="K39" s="30"/>
    </row>
    <row r="40" customFormat="false" ht="15" hidden="false" customHeight="false" outlineLevel="0" collapsed="false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</row>
    <row r="41" customFormat="false" ht="25.5" hidden="false" customHeight="true" outlineLevel="0" collapsed="false">
      <c r="A41" s="30"/>
      <c r="B41" s="31" t="s">
        <v>39</v>
      </c>
      <c r="C41" s="32"/>
      <c r="D41" s="32"/>
      <c r="E41" s="32"/>
      <c r="F41" s="32"/>
      <c r="G41" s="32"/>
      <c r="H41" s="32"/>
      <c r="I41" s="32"/>
      <c r="J41" s="32"/>
      <c r="K41" s="30"/>
    </row>
    <row r="42" customFormat="false" ht="24" hidden="false" customHeight="true" outlineLevel="0" collapsed="false">
      <c r="A42" s="30"/>
      <c r="B42" s="47" t="s">
        <v>40</v>
      </c>
      <c r="C42" s="47"/>
      <c r="D42" s="47"/>
      <c r="E42" s="47"/>
      <c r="F42" s="47"/>
      <c r="G42" s="47"/>
      <c r="H42" s="47"/>
      <c r="I42" s="47"/>
      <c r="J42" s="47"/>
      <c r="K42" s="30"/>
    </row>
    <row r="43" customFormat="false" ht="24" hidden="false" customHeight="true" outlineLevel="0" collapsed="false">
      <c r="A43" s="30"/>
      <c r="B43" s="48" t="s">
        <v>41</v>
      </c>
      <c r="C43" s="48"/>
      <c r="D43" s="48"/>
      <c r="E43" s="48"/>
      <c r="F43" s="48"/>
      <c r="G43" s="48"/>
      <c r="H43" s="48"/>
      <c r="I43" s="48"/>
      <c r="J43" s="48"/>
      <c r="K43" s="30"/>
    </row>
    <row r="44" customFormat="false" ht="24" hidden="false" customHeight="true" outlineLevel="0" collapsed="false">
      <c r="A44" s="30"/>
      <c r="B44" s="49" t="s">
        <v>42</v>
      </c>
      <c r="C44" s="49"/>
      <c r="D44" s="49"/>
      <c r="E44" s="49"/>
      <c r="F44" s="49"/>
      <c r="G44" s="49"/>
      <c r="H44" s="49"/>
      <c r="I44" s="49"/>
      <c r="J44" s="49"/>
      <c r="K44" s="30"/>
    </row>
    <row r="45" customFormat="false" ht="24" hidden="false" customHeight="true" outlineLevel="0" collapsed="false">
      <c r="A45" s="30"/>
      <c r="B45" s="50" t="s">
        <v>43</v>
      </c>
      <c r="C45" s="50"/>
      <c r="D45" s="50"/>
      <c r="E45" s="50"/>
      <c r="F45" s="50"/>
      <c r="G45" s="50"/>
      <c r="H45" s="50"/>
      <c r="I45" s="50"/>
      <c r="J45" s="50"/>
      <c r="K45" s="30"/>
    </row>
    <row r="46" customFormat="false" ht="24" hidden="false" customHeight="true" outlineLevel="0" collapsed="false">
      <c r="A46" s="30"/>
      <c r="B46" s="51" t="s">
        <v>44</v>
      </c>
      <c r="C46" s="51"/>
      <c r="D46" s="51"/>
      <c r="E46" s="51"/>
      <c r="F46" s="51"/>
      <c r="G46" s="51"/>
      <c r="H46" s="51"/>
      <c r="I46" s="51"/>
      <c r="J46" s="51"/>
      <c r="K46" s="30"/>
    </row>
    <row r="47" customFormat="false" ht="30" hidden="false" customHeight="true" outlineLevel="0" collapsed="false">
      <c r="A47" s="30"/>
      <c r="B47" s="52" t="s">
        <v>45</v>
      </c>
      <c r="C47" s="52"/>
      <c r="D47" s="52"/>
      <c r="E47" s="52"/>
      <c r="F47" s="52"/>
      <c r="G47" s="52"/>
      <c r="H47" s="52"/>
      <c r="I47" s="52"/>
      <c r="J47" s="52"/>
      <c r="K47" s="30"/>
    </row>
    <row r="48" customFormat="false" ht="15" hidden="false" customHeight="false" outlineLevel="0" collapsed="false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</row>
    <row r="49" customFormat="false" ht="25.5" hidden="false" customHeight="true" outlineLevel="0" collapsed="false">
      <c r="A49" s="30"/>
      <c r="B49" s="53" t="s">
        <v>46</v>
      </c>
      <c r="C49" s="54"/>
      <c r="D49" s="54"/>
      <c r="E49" s="54"/>
      <c r="F49" s="54"/>
      <c r="G49" s="54"/>
      <c r="H49" s="54"/>
      <c r="I49" s="54"/>
      <c r="J49" s="54"/>
      <c r="K49" s="30"/>
    </row>
    <row r="50" customFormat="false" ht="24" hidden="false" customHeight="true" outlineLevel="0" collapsed="false">
      <c r="A50" s="30"/>
      <c r="B50" s="48" t="s">
        <v>47</v>
      </c>
      <c r="C50" s="48"/>
      <c r="D50" s="48"/>
      <c r="E50" s="48"/>
      <c r="F50" s="48"/>
      <c r="G50" s="48"/>
      <c r="H50" s="48"/>
      <c r="I50" s="48"/>
      <c r="J50" s="48"/>
      <c r="K50" s="30"/>
    </row>
    <row r="51" customFormat="false" ht="24" hidden="false" customHeight="true" outlineLevel="0" collapsed="false">
      <c r="A51" s="30"/>
      <c r="B51" s="48" t="s">
        <v>48</v>
      </c>
      <c r="C51" s="48"/>
      <c r="D51" s="48"/>
      <c r="E51" s="48"/>
      <c r="F51" s="48"/>
      <c r="G51" s="48"/>
      <c r="H51" s="48"/>
      <c r="I51" s="48"/>
      <c r="J51" s="48"/>
      <c r="K51" s="30"/>
    </row>
    <row r="52" customFormat="false" ht="24" hidden="false" customHeight="true" outlineLevel="0" collapsed="false">
      <c r="A52" s="30"/>
      <c r="B52" s="55" t="s">
        <v>49</v>
      </c>
      <c r="C52" s="55"/>
      <c r="D52" s="55"/>
      <c r="E52" s="55"/>
      <c r="F52" s="55"/>
      <c r="G52" s="55"/>
      <c r="H52" s="55"/>
      <c r="I52" s="55"/>
      <c r="J52" s="55"/>
      <c r="K52" s="30"/>
    </row>
    <row r="53" customFormat="false" ht="15" hidden="false" customHeight="false" outlineLevel="0" collapsed="false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</row>
    <row r="54" customFormat="false" ht="27.75" hidden="false" customHeight="true" outlineLevel="0" collapsed="false">
      <c r="A54" s="30"/>
      <c r="B54" s="56" t="s">
        <v>50</v>
      </c>
      <c r="C54" s="56"/>
      <c r="D54" s="56"/>
      <c r="E54" s="56"/>
      <c r="F54" s="56"/>
      <c r="G54" s="56"/>
      <c r="H54" s="56"/>
      <c r="I54" s="56"/>
      <c r="J54" s="56"/>
      <c r="K54" s="30"/>
    </row>
    <row r="55" customFormat="false" ht="15" hidden="false" customHeight="false" outlineLevel="0" collapsed="false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</row>
    <row r="56" customFormat="false" ht="15" hidden="false" customHeight="false" outlineLevel="0" collapsed="false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</row>
    <row r="57" customFormat="false" ht="15" hidden="false" customHeight="false" outlineLevel="0" collapsed="false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</row>
    <row r="58" customFormat="false" ht="15" hidden="false" customHeight="false" outlineLevel="0" collapsed="false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</row>
    <row r="59" customFormat="false" ht="15" hidden="false" customHeight="false" outlineLevel="0" collapsed="false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</row>
    <row r="60" customFormat="false" ht="15" hidden="false" customHeight="false" outlineLevel="0" collapsed="false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</row>
  </sheetData>
  <mergeCells count="37">
    <mergeCell ref="B1:J1"/>
    <mergeCell ref="B9:B12"/>
    <mergeCell ref="C9:D9"/>
    <mergeCell ref="E9:F9"/>
    <mergeCell ref="G9:H9"/>
    <mergeCell ref="I9:J9"/>
    <mergeCell ref="C10:D11"/>
    <mergeCell ref="E10:F11"/>
    <mergeCell ref="G10:H11"/>
    <mergeCell ref="I10:J11"/>
    <mergeCell ref="C12:D12"/>
    <mergeCell ref="E12:F12"/>
    <mergeCell ref="G12:H12"/>
    <mergeCell ref="I12:J12"/>
    <mergeCell ref="B15:B18"/>
    <mergeCell ref="C15:D15"/>
    <mergeCell ref="E15:F15"/>
    <mergeCell ref="G15:H15"/>
    <mergeCell ref="I15:J15"/>
    <mergeCell ref="C16:D17"/>
    <mergeCell ref="E16:F17"/>
    <mergeCell ref="G16:H17"/>
    <mergeCell ref="I16:J17"/>
    <mergeCell ref="C18:D18"/>
    <mergeCell ref="E18:F18"/>
    <mergeCell ref="G18:H18"/>
    <mergeCell ref="I18:J18"/>
    <mergeCell ref="B42:J42"/>
    <mergeCell ref="B43:J43"/>
    <mergeCell ref="B44:J44"/>
    <mergeCell ref="B45:J45"/>
    <mergeCell ref="B46:J46"/>
    <mergeCell ref="B47:J47"/>
    <mergeCell ref="B50:J50"/>
    <mergeCell ref="B51:J51"/>
    <mergeCell ref="B52:J52"/>
    <mergeCell ref="B54:J54"/>
  </mergeCells>
  <conditionalFormatting sqref="D4">
    <cfRule type="expression" priority="2" aboveAverage="0" equalAverage="0" bottom="0" percent="0" rank="0" text="" dxfId="0">
      <formula>LEFT($D4,1)="⚠"</formula>
    </cfRule>
  </conditionalFormatting>
  <conditionalFormatting sqref="I10">
    <cfRule type="dataBar" priority="3">
      <dataBar showValue="1" minLength="10" maxLength="90">
        <cfvo type="num" val="0"/>
        <cfvo type="num" val="1"/>
        <color rgb="FF4F46E5"/>
      </dataBar>
      <extLst>
        <ext xmlns:x14="http://schemas.microsoft.com/office/spreadsheetml/2009/9/main" uri="{B025F937-C7B1-47D3-B67F-A62EFF666E3E}">
          <x14:id>{E547E1BA-E3FB-44D4-8DD2-D0C7C7CEC59C}</x14:id>
        </ext>
      </extLst>
    </cfRule>
  </conditionalFormatting>
  <conditionalFormatting sqref="I16">
    <cfRule type="dataBar" priority="4">
      <dataBar showValue="1" minLength="10" maxLength="90">
        <cfvo type="num" val="0"/>
        <cfvo type="num" val="1"/>
        <color rgb="FF0D9488"/>
      </dataBar>
      <extLst>
        <ext xmlns:x14="http://schemas.microsoft.com/office/spreadsheetml/2009/9/main" uri="{B025F937-C7B1-47D3-B67F-A62EFF666E3E}">
          <x14:id>{2FF3DE13-D32B-40D5-8CAA-6E734D374369}</x14:id>
        </ext>
      </extLst>
    </cfRule>
  </conditionalFormatting>
  <conditionalFormatting sqref="C22:D38">
    <cfRule type="expression" priority="5" aboveAverage="0" equalAverage="0" bottom="0" percent="0" rank="0" text="" dxfId="1">
      <formula>C22=0</formula>
    </cfRule>
  </conditionalFormatting>
  <conditionalFormatting sqref="C22:C38">
    <cfRule type="dataBar" priority="6">
      <dataBar showValue="1" minLength="10" maxLength="90">
        <cfvo type="num" val="0"/>
        <cfvo type="num" val="16"/>
        <color rgb="FF818CF8"/>
      </dataBar>
      <extLst>
        <ext xmlns:x14="http://schemas.microsoft.com/office/spreadsheetml/2009/9/main" uri="{B025F937-C7B1-47D3-B67F-A62EFF666E3E}">
          <x14:id>{43333F9B-EA6A-4C81-8613-D2E1309E34AE}</x14:id>
        </ext>
      </extLst>
    </cfRule>
  </conditionalFormatting>
  <conditionalFormatting sqref="D22:D38">
    <cfRule type="dataBar" priority="7">
      <dataBar showValue="1" minLength="10" maxLength="90">
        <cfvo type="num" val="0"/>
        <cfvo type="num" val="16"/>
        <color rgb="FF5EEAD4"/>
      </dataBar>
      <extLst>
        <ext xmlns:x14="http://schemas.microsoft.com/office/spreadsheetml/2009/9/main" uri="{B025F937-C7B1-47D3-B67F-A62EFF666E3E}">
          <x14:id>{CACF53C0-EED6-4673-B473-2683812A5E73}</x14:id>
        </ext>
      </extLst>
    </cfRule>
  </conditionalFormatting>
  <dataValidations count="2">
    <dataValidation allowBlank="false" errorStyle="stop" operator="between" showDropDown="false" showErrorMessage="false" showInputMessage="false" sqref="C6" type="list">
      <formula1>"Beginner,Intermediate,Advanced"</formula1>
      <formula2>0</formula2>
    </dataValidation>
    <dataValidation allowBlank="false" errorStyle="stop" operator="between" showDropDown="false" showErrorMessage="false" showInputMessage="false" sqref="C5" type="decimal">
      <formula1>1</formula1>
      <formula2>80</formula2>
    </dataValidation>
  </dataValidations>
  <printOptions headings="false" gridLines="false" gridLinesSet="true" horizontalCentered="false" verticalCentered="false"/>
  <pageMargins left="0.4" right="0.4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Developed by Rajesh Kumar Singh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47E1BA-E3FB-44D4-8DD2-D0C7C7CEC59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F46E5"/>
              <x14:axisColor rgb="FF000000"/>
            </x14:dataBar>
          </x14:cfRule>
          <xm:sqref>I10</xm:sqref>
        </x14:conditionalFormatting>
        <x14:conditionalFormatting xmlns:xm="http://schemas.microsoft.com/office/excel/2006/main">
          <x14:cfRule type="dataBar" id="{2FF3DE13-D32B-40D5-8CAA-6E734D374369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0D9488"/>
              <x14:axisColor rgb="FF000000"/>
            </x14:dataBar>
          </x14:cfRule>
          <xm:sqref>I16</xm:sqref>
        </x14:conditionalFormatting>
        <x14:conditionalFormatting xmlns:xm="http://schemas.microsoft.com/office/excel/2006/main">
          <x14:cfRule type="dataBar" id="{43333F9B-EA6A-4C81-8613-D2E1309E34AE}">
            <x14:dataBar minLength="10" maxLength="90" axisPosition="none" gradient="true">
              <x14:cfvo type="num">
                <xm:f>0</xm:f>
              </x14:cfvo>
              <x14:cfvo type="num">
                <xm:f>16</xm:f>
              </x14:cfvo>
              <x14:negativeFillColor rgb="FF818CF8"/>
              <x14:axisColor rgb="FF000000"/>
            </x14:dataBar>
          </x14:cfRule>
          <xm:sqref>C22:C38</xm:sqref>
        </x14:conditionalFormatting>
        <x14:conditionalFormatting xmlns:xm="http://schemas.microsoft.com/office/excel/2006/main">
          <x14:cfRule type="dataBar" id="{CACF53C0-EED6-4673-B473-2683812A5E73}">
            <x14:dataBar minLength="10" maxLength="90" axisPosition="none" gradient="true">
              <x14:cfvo type="num">
                <xm:f>0</xm:f>
              </x14:cfvo>
              <x14:cfvo type="num">
                <xm:f>16</xm:f>
              </x14:cfvo>
              <x14:negativeFillColor rgb="FF5EEAD4"/>
              <x14:axisColor rgb="FF000000"/>
            </x14:dataBar>
          </x14:cfRule>
          <xm:sqref>D22:D38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true"/>
  </sheetPr>
  <dimension ref="A1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5" min="4" style="0" width="52"/>
    <col collapsed="false" customWidth="true" hidden="false" outlineLevel="0" max="6" min="6" style="0" width="12"/>
    <col collapsed="false" customWidth="true" hidden="false" outlineLevel="0" max="7" min="7" style="0" width="48"/>
    <col collapsed="false" customWidth="true" hidden="true" outlineLevel="0" max="9" min="8" style="0" width="7"/>
  </cols>
  <sheetData>
    <row r="1" customFormat="false" ht="42" hidden="false" customHeight="true" outlineLevel="0" collapsed="false">
      <c r="A1" s="57" t="s">
        <v>51</v>
      </c>
      <c r="B1" s="57"/>
      <c r="C1" s="57"/>
      <c r="D1" s="57"/>
      <c r="E1" s="57"/>
      <c r="F1" s="57"/>
      <c r="G1" s="57"/>
    </row>
    <row r="2" customFormat="false" ht="24" hidden="false" customHeight="true" outlineLevel="0" collapsed="false">
      <c r="A2" s="4" t="s">
        <v>52</v>
      </c>
      <c r="B2" s="4"/>
      <c r="C2" s="4"/>
      <c r="D2" s="4"/>
      <c r="E2" s="4"/>
      <c r="F2" s="4"/>
      <c r="G2" s="4"/>
    </row>
    <row r="4" customFormat="false" ht="33.75" hidden="false" customHeight="true" outlineLevel="0" collapsed="false">
      <c r="A4" s="34" t="s">
        <v>53</v>
      </c>
      <c r="B4" s="34" t="s">
        <v>54</v>
      </c>
      <c r="C4" s="34" t="s">
        <v>55</v>
      </c>
      <c r="D4" s="34" t="s">
        <v>56</v>
      </c>
      <c r="E4" s="34" t="s">
        <v>57</v>
      </c>
      <c r="F4" s="34" t="s">
        <v>58</v>
      </c>
      <c r="G4" s="34" t="s">
        <v>59</v>
      </c>
      <c r="H4" s="58" t="s">
        <v>60</v>
      </c>
      <c r="I4" s="58" t="s">
        <v>61</v>
      </c>
    </row>
    <row r="5" customFormat="false" ht="51.75" hidden="false" customHeight="true" outlineLevel="0" collapsed="false">
      <c r="A5" s="59" t="s">
        <v>62</v>
      </c>
      <c r="B5" s="60" t="s">
        <v>63</v>
      </c>
      <c r="C5" s="61" t="n">
        <f aca="false">IFERROR(INDEX('SDE Plan'!$C$6:$C$78,MATCH($H5,'SDE Plan'!$A$6:$A$78,0)),"—")</f>
        <v>46307</v>
      </c>
      <c r="D5" s="62" t="str">
        <f aca="false">IFERROR(IF(INDEX('SDE Plan'!$F$6:$F$78,MATCH($H5,'SDE Plan'!$A$6:$A$78,0))=INDEX('SDE Plan'!$F$6:$F$78,MATCH($I5,'SDE Plan'!$A$6:$A$78,0)),INDEX('SDE Plan'!$F$6:$F$78,MATCH($H5,'SDE Plan'!$A$6:$A$78,0)),INDEX('SDE Plan'!$F$6:$F$78,MATCH($H5,'SDE Plan'!$A$6:$A$78,0))&amp;"  →  "&amp;INDEX('SDE Plan'!$F$6:$F$78,MATCH($I5,'SDE Plan'!$A$6:$A$78,0))),"—")</f>
        <v>Intermediate DSA: AI-Assisted Problem Solving  →  Agentic AI: From Talking to AI to Building One</v>
      </c>
      <c r="E5" s="62" t="str">
        <f aca="false">IFERROR(IF(INDEX('FullStack Plan'!$F$6:$F$78,MATCH($H5,'FullStack Plan'!$A$6:$A$78,0))=INDEX('FullStack Plan'!$F$6:$F$78,MATCH($I5,'FullStack Plan'!$A$6:$A$78,0)),INDEX('FullStack Plan'!$F$6:$F$78,MATCH($H5,'FullStack Plan'!$A$6:$A$78,0)),INDEX('FullStack Plan'!$F$6:$F$78,MATCH($H5,'FullStack Plan'!$A$6:$A$78,0))&amp;"  →  "&amp;INDEX('FullStack Plan'!$F$6:$F$78,MATCH($I5,'FullStack Plan'!$A$6:$A$78,0))),"—")</f>
        <v>HTML &amp; CSS Foundations  →  JavaScript Runtime Systems, Browser APIs &amp; Product Labs</v>
      </c>
      <c r="F5" s="63" t="n">
        <f aca="false">(I5-H5+1)*Overview!$C$5</f>
        <v>80</v>
      </c>
      <c r="G5" s="64" t="s">
        <v>64</v>
      </c>
      <c r="H5" s="0" t="n">
        <v>1</v>
      </c>
      <c r="I5" s="0" t="n">
        <v>4</v>
      </c>
    </row>
    <row r="6" customFormat="false" ht="51.75" hidden="false" customHeight="true" outlineLevel="0" collapsed="false">
      <c r="A6" s="65" t="s">
        <v>65</v>
      </c>
      <c r="B6" s="66" t="s">
        <v>66</v>
      </c>
      <c r="C6" s="67" t="n">
        <f aca="false">IFERROR(INDEX('SDE Plan'!$C$6:$C$78,MATCH($H6,'SDE Plan'!$A$6:$A$78,0)),"—")</f>
        <v>46335</v>
      </c>
      <c r="D6" s="68" t="str">
        <f aca="false">IFERROR(IF(INDEX('SDE Plan'!$F$6:$F$78,MATCH($H6,'SDE Plan'!$A$6:$A$78,0))=INDEX('SDE Plan'!$F$6:$F$78,MATCH($I6,'SDE Plan'!$A$6:$A$78,0)),INDEX('SDE Plan'!$F$6:$F$78,MATCH($H6,'SDE Plan'!$A$6:$A$78,0)),INDEX('SDE Plan'!$F$6:$F$78,MATCH($H6,'SDE Plan'!$A$6:$A$78,0))&amp;"  →  "&amp;INDEX('SDE Plan'!$F$6:$F$78,MATCH($I6,'SDE Plan'!$A$6:$A$78,0))),"—")</f>
        <v>Advanced DSA: Foundations – Core Techniques &amp; Optimization  →  Advanced DSA: Linear &amp; Non-Linear Structures</v>
      </c>
      <c r="E6" s="68" t="str">
        <f aca="false">IFERROR(IF(INDEX('FullStack Plan'!$F$6:$F$78,MATCH($H6,'FullStack Plan'!$A$6:$A$78,0))=INDEX('FullStack Plan'!$F$6:$F$78,MATCH($I6,'FullStack Plan'!$A$6:$A$78,0)),INDEX('FullStack Plan'!$F$6:$F$78,MATCH($H6,'FullStack Plan'!$A$6:$A$78,0)),INDEX('FullStack Plan'!$F$6:$F$78,MATCH($H6,'FullStack Plan'!$A$6:$A$78,0))&amp;"  →  "&amp;INDEX('FullStack Plan'!$F$6:$F$78,MATCH($I6,'FullStack Plan'!$A$6:$A$78,0))),"—")</f>
        <v>JavaScript Runtime Systems, Browser APIs &amp; Product Labs  →  JavaScript Object System &amp; Engineering Patterns</v>
      </c>
      <c r="F6" s="69" t="n">
        <f aca="false">(I6-H6+1)*Overview!$C$5</f>
        <v>100</v>
      </c>
      <c r="G6" s="70" t="s">
        <v>67</v>
      </c>
      <c r="H6" s="0" t="n">
        <v>5</v>
      </c>
      <c r="I6" s="0" t="n">
        <v>9</v>
      </c>
    </row>
    <row r="7" customFormat="false" ht="51.75" hidden="false" customHeight="true" outlineLevel="0" collapsed="false">
      <c r="A7" s="71" t="s">
        <v>68</v>
      </c>
      <c r="B7" s="60" t="s">
        <v>69</v>
      </c>
      <c r="C7" s="61" t="n">
        <f aca="false">IFERROR(INDEX('SDE Plan'!$C$6:$C$78,MATCH($H7,'SDE Plan'!$A$6:$A$78,0)),"—")</f>
        <v>46370</v>
      </c>
      <c r="D7" s="62" t="str">
        <f aca="false">IFERROR(IF(INDEX('SDE Plan'!$F$6:$F$78,MATCH($H7,'SDE Plan'!$A$6:$A$78,0))=INDEX('SDE Plan'!$F$6:$F$78,MATCH($I7,'SDE Plan'!$A$6:$A$78,0)),INDEX('SDE Plan'!$F$6:$F$78,MATCH($H7,'SDE Plan'!$A$6:$A$78,0)),INDEX('SDE Plan'!$F$6:$F$78,MATCH($H7,'SDE Plan'!$A$6:$A$78,0))&amp;"  →  "&amp;INDEX('SDE Plan'!$F$6:$F$78,MATCH($I7,'SDE Plan'!$A$6:$A$78,0))),"—")</f>
        <v>Advanced DSA: Linear &amp; Non-Linear Structures  →  Advanced DSA: Backtracking &amp; Advanced Trees</v>
      </c>
      <c r="E7" s="62" t="str">
        <f aca="false">IFERROR(IF(INDEX('FullStack Plan'!$F$6:$F$78,MATCH($H7,'FullStack Plan'!$A$6:$A$78,0))=INDEX('FullStack Plan'!$F$6:$F$78,MATCH($I7,'FullStack Plan'!$A$6:$A$78,0)),INDEX('FullStack Plan'!$F$6:$F$78,MATCH($H7,'FullStack Plan'!$A$6:$A$78,0)),INDEX('FullStack Plan'!$F$6:$F$78,MATCH($H7,'FullStack Plan'!$A$6:$A$78,0))&amp;"  →  "&amp;INDEX('FullStack Plan'!$F$6:$F$78,MATCH($I7,'FullStack Plan'!$A$6:$A$78,0))),"—")</f>
        <v>JavaScript Object System &amp; Engineering Patterns  →  React &amp; Frontend Product Architecture Fundamentals</v>
      </c>
      <c r="F7" s="63" t="n">
        <f aca="false">(I7-H7+1)*Overview!$C$5</f>
        <v>80</v>
      </c>
      <c r="G7" s="64" t="s">
        <v>70</v>
      </c>
      <c r="H7" s="0" t="n">
        <v>10</v>
      </c>
      <c r="I7" s="0" t="n">
        <v>13</v>
      </c>
    </row>
    <row r="8" customFormat="false" ht="51.75" hidden="false" customHeight="true" outlineLevel="0" collapsed="false">
      <c r="A8" s="72" t="s">
        <v>71</v>
      </c>
      <c r="B8" s="66" t="s">
        <v>72</v>
      </c>
      <c r="C8" s="67" t="n">
        <f aca="false">IFERROR(INDEX('SDE Plan'!$C$6:$C$78,MATCH($H8,'SDE Plan'!$A$6:$A$78,0)),"—")</f>
        <v>46398</v>
      </c>
      <c r="D8" s="68" t="str">
        <f aca="false">IFERROR(IF(INDEX('SDE Plan'!$F$6:$F$78,MATCH($H8,'SDE Plan'!$A$6:$A$78,0))=INDEX('SDE Plan'!$F$6:$F$78,MATCH($I8,'SDE Plan'!$A$6:$A$78,0)),INDEX('SDE Plan'!$F$6:$F$78,MATCH($H8,'SDE Plan'!$A$6:$A$78,0)),INDEX('SDE Plan'!$F$6:$F$78,MATCH($H8,'SDE Plan'!$A$6:$A$78,0))&amp;"  →  "&amp;INDEX('SDE Plan'!$F$6:$F$78,MATCH($I8,'SDE Plan'!$A$6:$A$78,0))),"—")</f>
        <v>Advanced DSA: DP, Heaps &amp; Graphs – Crack It with AI Edge</v>
      </c>
      <c r="E8" s="68" t="str">
        <f aca="false">IFERROR(IF(INDEX('FullStack Plan'!$F$6:$F$78,MATCH($H8,'FullStack Plan'!$A$6:$A$78,0))=INDEX('FullStack Plan'!$F$6:$F$78,MATCH($I8,'FullStack Plan'!$A$6:$A$78,0)),INDEX('FullStack Plan'!$F$6:$F$78,MATCH($H8,'FullStack Plan'!$A$6:$A$78,0)),INDEX('FullStack Plan'!$F$6:$F$78,MATCH($H8,'FullStack Plan'!$A$6:$A$78,0))&amp;"  →  "&amp;INDEX('FullStack Plan'!$F$6:$F$78,MATCH($I8,'FullStack Plan'!$A$6:$A$78,0))),"—")</f>
        <v>React &amp; Frontend Product Architecture Fundamentals  →  Backend Product Systems, APIs &amp; Production Engineering (MERN)</v>
      </c>
      <c r="F8" s="69" t="n">
        <f aca="false">(I8-H8+1)*Overview!$C$5</f>
        <v>80</v>
      </c>
      <c r="G8" s="70" t="s">
        <v>73</v>
      </c>
      <c r="H8" s="0" t="n">
        <v>14</v>
      </c>
      <c r="I8" s="0" t="n">
        <v>17</v>
      </c>
    </row>
    <row r="9" customFormat="false" ht="51.75" hidden="false" customHeight="true" outlineLevel="0" collapsed="false">
      <c r="A9" s="73" t="s">
        <v>74</v>
      </c>
      <c r="B9" s="60" t="s">
        <v>75</v>
      </c>
      <c r="C9" s="61" t="n">
        <f aca="false">IFERROR(INDEX('SDE Plan'!$C$6:$C$78,MATCH($H9,'SDE Plan'!$A$6:$A$78,0)),"—")</f>
        <v>46426</v>
      </c>
      <c r="D9" s="62" t="str">
        <f aca="false">IFERROR(IF(INDEX('SDE Plan'!$F$6:$F$78,MATCH($H9,'SDE Plan'!$A$6:$A$78,0))=INDEX('SDE Plan'!$F$6:$F$78,MATCH($I9,'SDE Plan'!$A$6:$A$78,0)),INDEX('SDE Plan'!$F$6:$F$78,MATCH($H9,'SDE Plan'!$A$6:$A$78,0)),INDEX('SDE Plan'!$F$6:$F$78,MATCH($H9,'SDE Plan'!$A$6:$A$78,0))&amp;"  →  "&amp;INDEX('SDE Plan'!$F$6:$F$78,MATCH($I9,'SDE Plan'!$A$6:$A$78,0))),"—")</f>
        <v>Databases &amp; SQL  →  Foundations of Object-Oriented Design &amp; Scalable Systems</v>
      </c>
      <c r="E9" s="62" t="str">
        <f aca="false">IFERROR(IF(INDEX('FullStack Plan'!$F$6:$F$78,MATCH($H9,'FullStack Plan'!$A$6:$A$78,0))=INDEX('FullStack Plan'!$F$6:$F$78,MATCH($I9,'FullStack Plan'!$A$6:$A$78,0)),INDEX('FullStack Plan'!$F$6:$F$78,MATCH($H9,'FullStack Plan'!$A$6:$A$78,0)),INDEX('FullStack Plan'!$F$6:$F$78,MATCH($H9,'FullStack Plan'!$A$6:$A$78,0))&amp;"  →  "&amp;INDEX('FullStack Plan'!$F$6:$F$78,MATCH($I9,'FullStack Plan'!$A$6:$A$78,0))),"—")</f>
        <v>Backend Product Systems, APIs &amp; Production Engineering (MERN)  →  Databases &amp; SQL</v>
      </c>
      <c r="F9" s="63" t="n">
        <f aca="false">(I9-H9+1)*Overview!$C$5</f>
        <v>100</v>
      </c>
      <c r="G9" s="64" t="s">
        <v>76</v>
      </c>
      <c r="H9" s="0" t="n">
        <v>18</v>
      </c>
      <c r="I9" s="0" t="n">
        <v>22</v>
      </c>
    </row>
    <row r="10" customFormat="false" ht="51.75" hidden="false" customHeight="true" outlineLevel="0" collapsed="false">
      <c r="A10" s="74" t="s">
        <v>77</v>
      </c>
      <c r="B10" s="66" t="s">
        <v>78</v>
      </c>
      <c r="C10" s="67" t="n">
        <f aca="false">IFERROR(INDEX('SDE Plan'!$C$6:$C$78,MATCH($H10,'SDE Plan'!$A$6:$A$78,0)),"—")</f>
        <v>46461</v>
      </c>
      <c r="D10" s="68" t="str">
        <f aca="false">IFERROR(IF(INDEX('SDE Plan'!$F$6:$F$78,MATCH($H10,'SDE Plan'!$A$6:$A$78,0))=INDEX('SDE Plan'!$F$6:$F$78,MATCH($I10,'SDE Plan'!$A$6:$A$78,0)),INDEX('SDE Plan'!$F$6:$F$78,MATCH($H10,'SDE Plan'!$A$6:$A$78,0)),INDEX('SDE Plan'!$F$6:$F$78,MATCH($H10,'SDE Plan'!$A$6:$A$78,0))&amp;"  →  "&amp;INDEX('SDE Plan'!$F$6:$F$78,MATCH($I10,'SDE Plan'!$A$6:$A$78,0))),"—")</f>
        <v>Design Principles &amp; Patterns for Extensible Systems  →  Applied Design &amp; Machine Coding</v>
      </c>
      <c r="E10" s="68" t="str">
        <f aca="false">IFERROR(IF(INDEX('FullStack Plan'!$F$6:$F$78,MATCH($H10,'FullStack Plan'!$A$6:$A$78,0))=INDEX('FullStack Plan'!$F$6:$F$78,MATCH($I10,'FullStack Plan'!$A$6:$A$78,0)),INDEX('FullStack Plan'!$F$6:$F$78,MATCH($H10,'FullStack Plan'!$A$6:$A$78,0)),INDEX('FullStack Plan'!$F$6:$F$78,MATCH($H10,'FullStack Plan'!$A$6:$A$78,0))&amp;"  →  "&amp;INDEX('FullStack Plan'!$F$6:$F$78,MATCH($I10,'FullStack Plan'!$A$6:$A$78,0))),"—")</f>
        <v>Backend Product Systems – Deep Dive  →  React, TypeScript &amp; Frontend Architecture – Deep Dive (incl. Next.js)</v>
      </c>
      <c r="F10" s="69" t="n">
        <f aca="false">(I10-H10+1)*Overview!$C$5</f>
        <v>80</v>
      </c>
      <c r="G10" s="70" t="s">
        <v>79</v>
      </c>
      <c r="H10" s="0" t="n">
        <v>23</v>
      </c>
      <c r="I10" s="0" t="n">
        <v>26</v>
      </c>
    </row>
    <row r="11" customFormat="false" ht="51.75" hidden="false" customHeight="true" outlineLevel="0" collapsed="false">
      <c r="A11" s="75" t="s">
        <v>80</v>
      </c>
      <c r="B11" s="60" t="s">
        <v>81</v>
      </c>
      <c r="C11" s="61" t="n">
        <f aca="false">IFERROR(INDEX('SDE Plan'!$C$6:$C$78,MATCH($H11,'SDE Plan'!$A$6:$A$78,0)),"—")</f>
        <v>46489</v>
      </c>
      <c r="D11" s="62" t="str">
        <f aca="false">IFERROR(IF(INDEX('SDE Plan'!$F$6:$F$78,MATCH($H11,'SDE Plan'!$A$6:$A$78,0))=INDEX('SDE Plan'!$F$6:$F$78,MATCH($I11,'SDE Plan'!$A$6:$A$78,0)),INDEX('SDE Plan'!$F$6:$F$78,MATCH($H11,'SDE Plan'!$A$6:$A$78,0)),INDEX('SDE Plan'!$F$6:$F$78,MATCH($H11,'SDE Plan'!$A$6:$A$78,0))&amp;"  →  "&amp;INDEX('SDE Plan'!$F$6:$F$78,MATCH($I11,'SDE Plan'!$A$6:$A$78,0))),"—")</f>
        <v>Applied Design &amp; Machine Coding  →  AI-First Backend Capstone Project – Primer</v>
      </c>
      <c r="E11" s="62" t="str">
        <f aca="false">IFERROR(IF(INDEX('FullStack Plan'!$F$6:$F$78,MATCH($H11,'FullStack Plan'!$A$6:$A$78,0))=INDEX('FullStack Plan'!$F$6:$F$78,MATCH($I11,'FullStack Plan'!$A$6:$A$78,0)),INDEX('FullStack Plan'!$F$6:$F$78,MATCH($H11,'FullStack Plan'!$A$6:$A$78,0)),INDEX('FullStack Plan'!$F$6:$F$78,MATCH($H11,'FullStack Plan'!$A$6:$A$78,0))&amp;"  →  "&amp;INDEX('FullStack Plan'!$F$6:$F$78,MATCH($I11,'FullStack Plan'!$A$6:$A$78,0))),"—")</f>
        <v>React, TypeScript &amp; Frontend Architecture – Deep Dive (incl. Next.js)  →  Foundations of AI-Assisted Full-Stack Development</v>
      </c>
      <c r="F11" s="63" t="n">
        <f aca="false">(I11-H11+1)*Overview!$C$5</f>
        <v>80</v>
      </c>
      <c r="G11" s="64" t="s">
        <v>82</v>
      </c>
      <c r="H11" s="0" t="n">
        <v>27</v>
      </c>
      <c r="I11" s="0" t="n">
        <v>30</v>
      </c>
    </row>
    <row r="12" customFormat="false" ht="51.75" hidden="false" customHeight="true" outlineLevel="0" collapsed="false">
      <c r="A12" s="76" t="s">
        <v>83</v>
      </c>
      <c r="B12" s="66" t="s">
        <v>84</v>
      </c>
      <c r="C12" s="67" t="n">
        <f aca="false">IFERROR(INDEX('SDE Plan'!$C$6:$C$78,MATCH($H12,'SDE Plan'!$A$6:$A$78,0)),"—")</f>
        <v>46517</v>
      </c>
      <c r="D12" s="68" t="str">
        <f aca="false">IFERROR(IF(INDEX('SDE Plan'!$F$6:$F$78,MATCH($H12,'SDE Plan'!$A$6:$A$78,0))=INDEX('SDE Plan'!$F$6:$F$78,MATCH($I12,'SDE Plan'!$A$6:$A$78,0)),INDEX('SDE Plan'!$F$6:$F$78,MATCH($H12,'SDE Plan'!$A$6:$A$78,0)),INDEX('SDE Plan'!$F$6:$F$78,MATCH($H12,'SDE Plan'!$A$6:$A$78,0))&amp;"  →  "&amp;INDEX('SDE Plan'!$F$6:$F$78,MATCH($I12,'SDE Plan'!$A$6:$A$78,0))),"—")</f>
        <v>AI-First Backend Capstone Project – Advance  →  Distributed System Design &amp; AI-Integrated Architectures</v>
      </c>
      <c r="E12" s="68" t="str">
        <f aca="false">IFERROR(IF(INDEX('FullStack Plan'!$F$6:$F$78,MATCH($H12,'FullStack Plan'!$A$6:$A$78,0))=INDEX('FullStack Plan'!$F$6:$F$78,MATCH($I12,'FullStack Plan'!$A$6:$A$78,0)),INDEX('FullStack Plan'!$F$6:$F$78,MATCH($H12,'FullStack Plan'!$A$6:$A$78,0)),INDEX('FullStack Plan'!$F$6:$F$78,MATCH($H12,'FullStack Plan'!$A$6:$A$78,0))&amp;"  →  "&amp;INDEX('FullStack Plan'!$F$6:$F$78,MATCH($I12,'FullStack Plan'!$A$6:$A$78,0))),"—")</f>
        <v>Full-Stack Capstone Project (suggested)  →  Intermediate DSA: AI-Assisted Problem Solving</v>
      </c>
      <c r="F12" s="69" t="n">
        <f aca="false">(I12-H12+1)*Overview!$C$5</f>
        <v>100</v>
      </c>
      <c r="G12" s="70" t="s">
        <v>85</v>
      </c>
      <c r="H12" s="0" t="n">
        <v>31</v>
      </c>
      <c r="I12" s="0" t="n">
        <v>35</v>
      </c>
    </row>
    <row r="13" customFormat="false" ht="51.75" hidden="false" customHeight="true" outlineLevel="0" collapsed="false">
      <c r="A13" s="77" t="s">
        <v>86</v>
      </c>
      <c r="B13" s="60" t="s">
        <v>87</v>
      </c>
      <c r="C13" s="61" t="n">
        <f aca="false">IFERROR(INDEX('SDE Plan'!$C$6:$C$78,MATCH($H13,'SDE Plan'!$A$6:$A$78,0)),"—")</f>
        <v>46552</v>
      </c>
      <c r="D13" s="62" t="str">
        <f aca="false">IFERROR(IF(INDEX('SDE Plan'!$F$6:$F$78,MATCH($H13,'SDE Plan'!$A$6:$A$78,0))=INDEX('SDE Plan'!$F$6:$F$78,MATCH($I13,'SDE Plan'!$A$6:$A$78,0)),INDEX('SDE Plan'!$F$6:$F$78,MATCH($H13,'SDE Plan'!$A$6:$A$78,0)),INDEX('SDE Plan'!$F$6:$F$78,MATCH($H13,'SDE Plan'!$A$6:$A$78,0))&amp;"  →  "&amp;INDEX('SDE Plan'!$F$6:$F$78,MATCH($I13,'SDE Plan'!$A$6:$A$78,0))),"—")</f>
        <v>Distributed System Design &amp; AI-Integrated Architectures  →  Mastering LastMile – Interview Simulation</v>
      </c>
      <c r="E13" s="62" t="str">
        <f aca="false">IFERROR(IF(INDEX('FullStack Plan'!$F$6:$F$78,MATCH($H13,'FullStack Plan'!$A$6:$A$78,0))=INDEX('FullStack Plan'!$F$6:$F$78,MATCH($I13,'FullStack Plan'!$A$6:$A$78,0)),INDEX('FullStack Plan'!$F$6:$F$78,MATCH($H13,'FullStack Plan'!$A$6:$A$78,0)),INDEX('FullStack Plan'!$F$6:$F$78,MATCH($H13,'FullStack Plan'!$A$6:$A$78,0))&amp;"  →  "&amp;INDEX('FullStack Plan'!$F$6:$F$78,MATCH($I13,'FullStack Plan'!$A$6:$A$78,0))),"—")</f>
        <v>Intermediate DSA: AI-Assisted Problem Solving  →  Mastering LastMile – Interview Simulation</v>
      </c>
      <c r="F13" s="63" t="n">
        <f aca="false">(I13-H13+1)*Overview!$C$5</f>
        <v>80</v>
      </c>
      <c r="G13" s="64" t="s">
        <v>88</v>
      </c>
      <c r="H13" s="0" t="n">
        <v>36</v>
      </c>
      <c r="I13" s="0" t="n">
        <v>39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4" right="0.4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Developed by Rajesh Kumar Singh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6B6D4"/>
    <pageSetUpPr fitToPage="true"/>
  </sheetPr>
  <dimension ref="A1:AQ4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43" min="5" style="0" width="3.4"/>
  </cols>
  <sheetData>
    <row r="1" customFormat="false" ht="42" hidden="false" customHeight="true" outlineLevel="0" collapsed="false">
      <c r="A1" s="57" t="s">
        <v>89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</row>
    <row r="2" customFormat="false" ht="24" hidden="false" customHeight="true" outlineLevel="0" collapsed="false">
      <c r="A2" s="78" t="s">
        <v>90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</row>
    <row r="4" customFormat="false" ht="21.75" hidden="false" customHeight="true" outlineLevel="0" collapsed="false">
      <c r="A4" s="79" t="s">
        <v>91</v>
      </c>
      <c r="B4" s="79" t="s">
        <v>92</v>
      </c>
      <c r="C4" s="79" t="s">
        <v>93</v>
      </c>
      <c r="D4" s="79" t="s">
        <v>94</v>
      </c>
      <c r="E4" s="80" t="s">
        <v>62</v>
      </c>
      <c r="F4" s="80"/>
      <c r="G4" s="80"/>
      <c r="H4" s="80"/>
      <c r="I4" s="81" t="s">
        <v>65</v>
      </c>
      <c r="J4" s="81"/>
      <c r="K4" s="81"/>
      <c r="L4" s="81"/>
      <c r="M4" s="81"/>
      <c r="N4" s="80" t="s">
        <v>68</v>
      </c>
      <c r="O4" s="80"/>
      <c r="P4" s="80"/>
      <c r="Q4" s="80"/>
      <c r="R4" s="81" t="s">
        <v>71</v>
      </c>
      <c r="S4" s="81"/>
      <c r="T4" s="81"/>
      <c r="U4" s="81"/>
      <c r="V4" s="80" t="s">
        <v>74</v>
      </c>
      <c r="W4" s="80"/>
      <c r="X4" s="80"/>
      <c r="Y4" s="80"/>
      <c r="Z4" s="80"/>
      <c r="AA4" s="81" t="s">
        <v>77</v>
      </c>
      <c r="AB4" s="81"/>
      <c r="AC4" s="81"/>
      <c r="AD4" s="81"/>
      <c r="AE4" s="80" t="s">
        <v>80</v>
      </c>
      <c r="AF4" s="80"/>
      <c r="AG4" s="80"/>
      <c r="AH4" s="80"/>
      <c r="AI4" s="81" t="s">
        <v>83</v>
      </c>
      <c r="AJ4" s="81"/>
      <c r="AK4" s="81"/>
      <c r="AL4" s="81"/>
      <c r="AM4" s="81"/>
      <c r="AN4" s="80" t="s">
        <v>86</v>
      </c>
      <c r="AO4" s="80"/>
      <c r="AP4" s="80"/>
      <c r="AQ4" s="80"/>
    </row>
    <row r="5" customFormat="false" ht="18" hidden="false" customHeight="true" outlineLevel="0" collapsed="false">
      <c r="A5" s="79"/>
      <c r="B5" s="79"/>
      <c r="C5" s="79"/>
      <c r="D5" s="79"/>
      <c r="E5" s="82" t="n">
        <v>1</v>
      </c>
      <c r="F5" s="82" t="n">
        <v>2</v>
      </c>
      <c r="G5" s="82" t="n">
        <v>3</v>
      </c>
      <c r="H5" s="82" t="n">
        <v>4</v>
      </c>
      <c r="I5" s="82" t="n">
        <v>5</v>
      </c>
      <c r="J5" s="82" t="n">
        <v>6</v>
      </c>
      <c r="K5" s="82" t="n">
        <v>7</v>
      </c>
      <c r="L5" s="82" t="n">
        <v>8</v>
      </c>
      <c r="M5" s="82" t="n">
        <v>9</v>
      </c>
      <c r="N5" s="82" t="n">
        <v>10</v>
      </c>
      <c r="O5" s="82" t="n">
        <v>11</v>
      </c>
      <c r="P5" s="82" t="n">
        <v>12</v>
      </c>
      <c r="Q5" s="82" t="n">
        <v>13</v>
      </c>
      <c r="R5" s="82" t="n">
        <v>14</v>
      </c>
      <c r="S5" s="82" t="n">
        <v>15</v>
      </c>
      <c r="T5" s="82" t="n">
        <v>16</v>
      </c>
      <c r="U5" s="82" t="n">
        <v>17</v>
      </c>
      <c r="V5" s="82" t="n">
        <v>18</v>
      </c>
      <c r="W5" s="82" t="n">
        <v>19</v>
      </c>
      <c r="X5" s="82" t="n">
        <v>20</v>
      </c>
      <c r="Y5" s="82" t="n">
        <v>21</v>
      </c>
      <c r="Z5" s="82" t="n">
        <v>22</v>
      </c>
      <c r="AA5" s="82" t="n">
        <v>23</v>
      </c>
      <c r="AB5" s="82" t="n">
        <v>24</v>
      </c>
      <c r="AC5" s="82" t="n">
        <v>25</v>
      </c>
      <c r="AD5" s="82" t="n">
        <v>26</v>
      </c>
      <c r="AE5" s="82" t="n">
        <v>27</v>
      </c>
      <c r="AF5" s="82" t="n">
        <v>28</v>
      </c>
      <c r="AG5" s="82" t="n">
        <v>29</v>
      </c>
      <c r="AH5" s="82" t="n">
        <v>30</v>
      </c>
      <c r="AI5" s="82" t="n">
        <v>31</v>
      </c>
      <c r="AJ5" s="82" t="n">
        <v>32</v>
      </c>
      <c r="AK5" s="82" t="n">
        <v>33</v>
      </c>
      <c r="AL5" s="82" t="n">
        <v>34</v>
      </c>
      <c r="AM5" s="82" t="n">
        <v>35</v>
      </c>
      <c r="AN5" s="82" t="n">
        <v>36</v>
      </c>
      <c r="AO5" s="82" t="n">
        <v>37</v>
      </c>
      <c r="AP5" s="82" t="n">
        <v>38</v>
      </c>
      <c r="AQ5" s="82" t="n">
        <v>39</v>
      </c>
    </row>
    <row r="6" customFormat="false" ht="15" hidden="false" customHeight="false" outlineLevel="0" collapsed="false">
      <c r="A6" s="83" t="s">
        <v>95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</row>
    <row r="7" customFormat="false" ht="18" hidden="false" customHeight="true" outlineLevel="0" collapsed="false">
      <c r="A7" s="84" t="s">
        <v>19</v>
      </c>
      <c r="B7" s="85" t="s">
        <v>96</v>
      </c>
      <c r="C7" s="84" t="str">
        <f aca="false">IF(COUNTIFS('SDE Plan'!$F$6:$F$78,$B7,'SDE Plan'!$B$6:$B$78,"Yes")=0,"",_xlfn.MINIFS('SDE Plan'!$A$6:$A$78,'SDE Plan'!$F$6:$F$78,$B7,'SDE Plan'!$B$6:$B$78,"Yes"))</f>
        <v/>
      </c>
      <c r="D7" s="84" t="str">
        <f aca="false">IF(COUNTIFS('SDE Plan'!$F$6:$F$78,$B7,'SDE Plan'!$B$6:$B$78,"Yes")=0,"",_xlfn.MAXIFS('SDE Plan'!$A$6:$A$78,'SDE Plan'!$F$6:$F$78,$B7,'SDE Plan'!$B$6:$B$78,"Yes"))</f>
        <v/>
      </c>
      <c r="E7" s="86" t="str">
        <f aca="false">IF($C7="","",IF(AND(E$5&gt;=$C7,E$5&lt;=$D7),IF(E$5&lt;$C7+COUNTIFS('SDE Plan'!$F$6:$F$78,$B7,'SDE Plan'!$B$6:$B$78,"Yes",'SDE Plan'!$L$6:$L$78,"Done"),2,1),""))</f>
        <v/>
      </c>
      <c r="F7" s="86" t="str">
        <f aca="false">IF($C7="","",IF(AND(F$5&gt;=$C7,F$5&lt;=$D7),IF(F$5&lt;$C7+COUNTIFS('SDE Plan'!$F$6:$F$78,$B7,'SDE Plan'!$B$6:$B$78,"Yes",'SDE Plan'!$L$6:$L$78,"Done"),2,1),""))</f>
        <v/>
      </c>
      <c r="G7" s="86" t="str">
        <f aca="false">IF($C7="","",IF(AND(G$5&gt;=$C7,G$5&lt;=$D7),IF(G$5&lt;$C7+COUNTIFS('SDE Plan'!$F$6:$F$78,$B7,'SDE Plan'!$B$6:$B$78,"Yes",'SDE Plan'!$L$6:$L$78,"Done"),2,1),""))</f>
        <v/>
      </c>
      <c r="H7" s="86" t="str">
        <f aca="false">IF($C7="","",IF(AND(H$5&gt;=$C7,H$5&lt;=$D7),IF(H$5&lt;$C7+COUNTIFS('SDE Plan'!$F$6:$F$78,$B7,'SDE Plan'!$B$6:$B$78,"Yes",'SDE Plan'!$L$6:$L$78,"Done"),2,1),""))</f>
        <v/>
      </c>
      <c r="I7" s="86" t="str">
        <f aca="false">IF($C7="","",IF(AND(I$5&gt;=$C7,I$5&lt;=$D7),IF(I$5&lt;$C7+COUNTIFS('SDE Plan'!$F$6:$F$78,$B7,'SDE Plan'!$B$6:$B$78,"Yes",'SDE Plan'!$L$6:$L$78,"Done"),2,1),""))</f>
        <v/>
      </c>
      <c r="J7" s="86" t="str">
        <f aca="false">IF($C7="","",IF(AND(J$5&gt;=$C7,J$5&lt;=$D7),IF(J$5&lt;$C7+COUNTIFS('SDE Plan'!$F$6:$F$78,$B7,'SDE Plan'!$B$6:$B$78,"Yes",'SDE Plan'!$L$6:$L$78,"Done"),2,1),""))</f>
        <v/>
      </c>
      <c r="K7" s="86" t="str">
        <f aca="false">IF($C7="","",IF(AND(K$5&gt;=$C7,K$5&lt;=$D7),IF(K$5&lt;$C7+COUNTIFS('SDE Plan'!$F$6:$F$78,$B7,'SDE Plan'!$B$6:$B$78,"Yes",'SDE Plan'!$L$6:$L$78,"Done"),2,1),""))</f>
        <v/>
      </c>
      <c r="L7" s="86" t="str">
        <f aca="false">IF($C7="","",IF(AND(L$5&gt;=$C7,L$5&lt;=$D7),IF(L$5&lt;$C7+COUNTIFS('SDE Plan'!$F$6:$F$78,$B7,'SDE Plan'!$B$6:$B$78,"Yes",'SDE Plan'!$L$6:$L$78,"Done"),2,1),""))</f>
        <v/>
      </c>
      <c r="M7" s="86" t="str">
        <f aca="false">IF($C7="","",IF(AND(M$5&gt;=$C7,M$5&lt;=$D7),IF(M$5&lt;$C7+COUNTIFS('SDE Plan'!$F$6:$F$78,$B7,'SDE Plan'!$B$6:$B$78,"Yes",'SDE Plan'!$L$6:$L$78,"Done"),2,1),""))</f>
        <v/>
      </c>
      <c r="N7" s="86" t="str">
        <f aca="false">IF($C7="","",IF(AND(N$5&gt;=$C7,N$5&lt;=$D7),IF(N$5&lt;$C7+COUNTIFS('SDE Plan'!$F$6:$F$78,$B7,'SDE Plan'!$B$6:$B$78,"Yes",'SDE Plan'!$L$6:$L$78,"Done"),2,1),""))</f>
        <v/>
      </c>
      <c r="O7" s="86" t="str">
        <f aca="false">IF($C7="","",IF(AND(O$5&gt;=$C7,O$5&lt;=$D7),IF(O$5&lt;$C7+COUNTIFS('SDE Plan'!$F$6:$F$78,$B7,'SDE Plan'!$B$6:$B$78,"Yes",'SDE Plan'!$L$6:$L$78,"Done"),2,1),""))</f>
        <v/>
      </c>
      <c r="P7" s="86" t="str">
        <f aca="false">IF($C7="","",IF(AND(P$5&gt;=$C7,P$5&lt;=$D7),IF(P$5&lt;$C7+COUNTIFS('SDE Plan'!$F$6:$F$78,$B7,'SDE Plan'!$B$6:$B$78,"Yes",'SDE Plan'!$L$6:$L$78,"Done"),2,1),""))</f>
        <v/>
      </c>
      <c r="Q7" s="86" t="str">
        <f aca="false">IF($C7="","",IF(AND(Q$5&gt;=$C7,Q$5&lt;=$D7),IF(Q$5&lt;$C7+COUNTIFS('SDE Plan'!$F$6:$F$78,$B7,'SDE Plan'!$B$6:$B$78,"Yes",'SDE Plan'!$L$6:$L$78,"Done"),2,1),""))</f>
        <v/>
      </c>
      <c r="R7" s="86" t="str">
        <f aca="false">IF($C7="","",IF(AND(R$5&gt;=$C7,R$5&lt;=$D7),IF(R$5&lt;$C7+COUNTIFS('SDE Plan'!$F$6:$F$78,$B7,'SDE Plan'!$B$6:$B$78,"Yes",'SDE Plan'!$L$6:$L$78,"Done"),2,1),""))</f>
        <v/>
      </c>
      <c r="S7" s="86" t="str">
        <f aca="false">IF($C7="","",IF(AND(S$5&gt;=$C7,S$5&lt;=$D7),IF(S$5&lt;$C7+COUNTIFS('SDE Plan'!$F$6:$F$78,$B7,'SDE Plan'!$B$6:$B$78,"Yes",'SDE Plan'!$L$6:$L$78,"Done"),2,1),""))</f>
        <v/>
      </c>
      <c r="T7" s="86" t="str">
        <f aca="false">IF($C7="","",IF(AND(T$5&gt;=$C7,T$5&lt;=$D7),IF(T$5&lt;$C7+COUNTIFS('SDE Plan'!$F$6:$F$78,$B7,'SDE Plan'!$B$6:$B$78,"Yes",'SDE Plan'!$L$6:$L$78,"Done"),2,1),""))</f>
        <v/>
      </c>
      <c r="U7" s="86" t="str">
        <f aca="false">IF($C7="","",IF(AND(U$5&gt;=$C7,U$5&lt;=$D7),IF(U$5&lt;$C7+COUNTIFS('SDE Plan'!$F$6:$F$78,$B7,'SDE Plan'!$B$6:$B$78,"Yes",'SDE Plan'!$L$6:$L$78,"Done"),2,1),""))</f>
        <v/>
      </c>
      <c r="V7" s="86" t="str">
        <f aca="false">IF($C7="","",IF(AND(V$5&gt;=$C7,V$5&lt;=$D7),IF(V$5&lt;$C7+COUNTIFS('SDE Plan'!$F$6:$F$78,$B7,'SDE Plan'!$B$6:$B$78,"Yes",'SDE Plan'!$L$6:$L$78,"Done"),2,1),""))</f>
        <v/>
      </c>
      <c r="W7" s="86" t="str">
        <f aca="false">IF($C7="","",IF(AND(W$5&gt;=$C7,W$5&lt;=$D7),IF(W$5&lt;$C7+COUNTIFS('SDE Plan'!$F$6:$F$78,$B7,'SDE Plan'!$B$6:$B$78,"Yes",'SDE Plan'!$L$6:$L$78,"Done"),2,1),""))</f>
        <v/>
      </c>
      <c r="X7" s="86" t="str">
        <f aca="false">IF($C7="","",IF(AND(X$5&gt;=$C7,X$5&lt;=$D7),IF(X$5&lt;$C7+COUNTIFS('SDE Plan'!$F$6:$F$78,$B7,'SDE Plan'!$B$6:$B$78,"Yes",'SDE Plan'!$L$6:$L$78,"Done"),2,1),""))</f>
        <v/>
      </c>
      <c r="Y7" s="86" t="str">
        <f aca="false">IF($C7="","",IF(AND(Y$5&gt;=$C7,Y$5&lt;=$D7),IF(Y$5&lt;$C7+COUNTIFS('SDE Plan'!$F$6:$F$78,$B7,'SDE Plan'!$B$6:$B$78,"Yes",'SDE Plan'!$L$6:$L$78,"Done"),2,1),""))</f>
        <v/>
      </c>
      <c r="Z7" s="86" t="str">
        <f aca="false">IF($C7="","",IF(AND(Z$5&gt;=$C7,Z$5&lt;=$D7),IF(Z$5&lt;$C7+COUNTIFS('SDE Plan'!$F$6:$F$78,$B7,'SDE Plan'!$B$6:$B$78,"Yes",'SDE Plan'!$L$6:$L$78,"Done"),2,1),""))</f>
        <v/>
      </c>
      <c r="AA7" s="86" t="str">
        <f aca="false">IF($C7="","",IF(AND(AA$5&gt;=$C7,AA$5&lt;=$D7),IF(AA$5&lt;$C7+COUNTIFS('SDE Plan'!$F$6:$F$78,$B7,'SDE Plan'!$B$6:$B$78,"Yes",'SDE Plan'!$L$6:$L$78,"Done"),2,1),""))</f>
        <v/>
      </c>
      <c r="AB7" s="86" t="str">
        <f aca="false">IF($C7="","",IF(AND(AB$5&gt;=$C7,AB$5&lt;=$D7),IF(AB$5&lt;$C7+COUNTIFS('SDE Plan'!$F$6:$F$78,$B7,'SDE Plan'!$B$6:$B$78,"Yes",'SDE Plan'!$L$6:$L$78,"Done"),2,1),""))</f>
        <v/>
      </c>
      <c r="AC7" s="86" t="str">
        <f aca="false">IF($C7="","",IF(AND(AC$5&gt;=$C7,AC$5&lt;=$D7),IF(AC$5&lt;$C7+COUNTIFS('SDE Plan'!$F$6:$F$78,$B7,'SDE Plan'!$B$6:$B$78,"Yes",'SDE Plan'!$L$6:$L$78,"Done"),2,1),""))</f>
        <v/>
      </c>
      <c r="AD7" s="86" t="str">
        <f aca="false">IF($C7="","",IF(AND(AD$5&gt;=$C7,AD$5&lt;=$D7),IF(AD$5&lt;$C7+COUNTIFS('SDE Plan'!$F$6:$F$78,$B7,'SDE Plan'!$B$6:$B$78,"Yes",'SDE Plan'!$L$6:$L$78,"Done"),2,1),""))</f>
        <v/>
      </c>
      <c r="AE7" s="86" t="str">
        <f aca="false">IF($C7="","",IF(AND(AE$5&gt;=$C7,AE$5&lt;=$D7),IF(AE$5&lt;$C7+COUNTIFS('SDE Plan'!$F$6:$F$78,$B7,'SDE Plan'!$B$6:$B$78,"Yes",'SDE Plan'!$L$6:$L$78,"Done"),2,1),""))</f>
        <v/>
      </c>
      <c r="AF7" s="86" t="str">
        <f aca="false">IF($C7="","",IF(AND(AF$5&gt;=$C7,AF$5&lt;=$D7),IF(AF$5&lt;$C7+COUNTIFS('SDE Plan'!$F$6:$F$78,$B7,'SDE Plan'!$B$6:$B$78,"Yes",'SDE Plan'!$L$6:$L$78,"Done"),2,1),""))</f>
        <v/>
      </c>
      <c r="AG7" s="86" t="str">
        <f aca="false">IF($C7="","",IF(AND(AG$5&gt;=$C7,AG$5&lt;=$D7),IF(AG$5&lt;$C7+COUNTIFS('SDE Plan'!$F$6:$F$78,$B7,'SDE Plan'!$B$6:$B$78,"Yes",'SDE Plan'!$L$6:$L$78,"Done"),2,1),""))</f>
        <v/>
      </c>
      <c r="AH7" s="86" t="str">
        <f aca="false">IF($C7="","",IF(AND(AH$5&gt;=$C7,AH$5&lt;=$D7),IF(AH$5&lt;$C7+COUNTIFS('SDE Plan'!$F$6:$F$78,$B7,'SDE Plan'!$B$6:$B$78,"Yes",'SDE Plan'!$L$6:$L$78,"Done"),2,1),""))</f>
        <v/>
      </c>
      <c r="AI7" s="86" t="str">
        <f aca="false">IF($C7="","",IF(AND(AI$5&gt;=$C7,AI$5&lt;=$D7),IF(AI$5&lt;$C7+COUNTIFS('SDE Plan'!$F$6:$F$78,$B7,'SDE Plan'!$B$6:$B$78,"Yes",'SDE Plan'!$L$6:$L$78,"Done"),2,1),""))</f>
        <v/>
      </c>
      <c r="AJ7" s="86" t="str">
        <f aca="false">IF($C7="","",IF(AND(AJ$5&gt;=$C7,AJ$5&lt;=$D7),IF(AJ$5&lt;$C7+COUNTIFS('SDE Plan'!$F$6:$F$78,$B7,'SDE Plan'!$B$6:$B$78,"Yes",'SDE Plan'!$L$6:$L$78,"Done"),2,1),""))</f>
        <v/>
      </c>
      <c r="AK7" s="86" t="str">
        <f aca="false">IF($C7="","",IF(AND(AK$5&gt;=$C7,AK$5&lt;=$D7),IF(AK$5&lt;$C7+COUNTIFS('SDE Plan'!$F$6:$F$78,$B7,'SDE Plan'!$B$6:$B$78,"Yes",'SDE Plan'!$L$6:$L$78,"Done"),2,1),""))</f>
        <v/>
      </c>
      <c r="AL7" s="86" t="str">
        <f aca="false">IF($C7="","",IF(AND(AL$5&gt;=$C7,AL$5&lt;=$D7),IF(AL$5&lt;$C7+COUNTIFS('SDE Plan'!$F$6:$F$78,$B7,'SDE Plan'!$B$6:$B$78,"Yes",'SDE Plan'!$L$6:$L$78,"Done"),2,1),""))</f>
        <v/>
      </c>
      <c r="AM7" s="86" t="str">
        <f aca="false">IF($C7="","",IF(AND(AM$5&gt;=$C7,AM$5&lt;=$D7),IF(AM$5&lt;$C7+COUNTIFS('SDE Plan'!$F$6:$F$78,$B7,'SDE Plan'!$B$6:$B$78,"Yes",'SDE Plan'!$L$6:$L$78,"Done"),2,1),""))</f>
        <v/>
      </c>
      <c r="AN7" s="86" t="str">
        <f aca="false">IF($C7="","",IF(AND(AN$5&gt;=$C7,AN$5&lt;=$D7),IF(AN$5&lt;$C7+COUNTIFS('SDE Plan'!$F$6:$F$78,$B7,'SDE Plan'!$B$6:$B$78,"Yes",'SDE Plan'!$L$6:$L$78,"Done"),2,1),""))</f>
        <v/>
      </c>
      <c r="AO7" s="86" t="str">
        <f aca="false">IF($C7="","",IF(AND(AO$5&gt;=$C7,AO$5&lt;=$D7),IF(AO$5&lt;$C7+COUNTIFS('SDE Plan'!$F$6:$F$78,$B7,'SDE Plan'!$B$6:$B$78,"Yes",'SDE Plan'!$L$6:$L$78,"Done"),2,1),""))</f>
        <v/>
      </c>
      <c r="AP7" s="86" t="str">
        <f aca="false">IF($C7="","",IF(AND(AP$5&gt;=$C7,AP$5&lt;=$D7),IF(AP$5&lt;$C7+COUNTIFS('SDE Plan'!$F$6:$F$78,$B7,'SDE Plan'!$B$6:$B$78,"Yes",'SDE Plan'!$L$6:$L$78,"Done"),2,1),""))</f>
        <v/>
      </c>
      <c r="AQ7" s="86" t="str">
        <f aca="false">IF($C7="","",IF(AND(AQ$5&gt;=$C7,AQ$5&lt;=$D7),IF(AQ$5&lt;$C7+COUNTIFS('SDE Plan'!$F$6:$F$78,$B7,'SDE Plan'!$B$6:$B$78,"Yes",'SDE Plan'!$L$6:$L$78,"Done"),2,1),""))</f>
        <v/>
      </c>
    </row>
    <row r="8" customFormat="false" ht="18" hidden="false" customHeight="true" outlineLevel="0" collapsed="false">
      <c r="A8" s="84" t="s">
        <v>19</v>
      </c>
      <c r="B8" s="85" t="s">
        <v>97</v>
      </c>
      <c r="C8" s="84" t="str">
        <f aca="false">IF(COUNTIFS('SDE Plan'!$F$6:$F$78,$B8,'SDE Plan'!$B$6:$B$78,"Yes")=0,"",_xlfn.MINIFS('SDE Plan'!$A$6:$A$78,'SDE Plan'!$F$6:$F$78,$B8,'SDE Plan'!$B$6:$B$78,"Yes"))</f>
        <v/>
      </c>
      <c r="D8" s="84" t="str">
        <f aca="false">IF(COUNTIFS('SDE Plan'!$F$6:$F$78,$B8,'SDE Plan'!$B$6:$B$78,"Yes")=0,"",_xlfn.MAXIFS('SDE Plan'!$A$6:$A$78,'SDE Plan'!$F$6:$F$78,$B8,'SDE Plan'!$B$6:$B$78,"Yes"))</f>
        <v/>
      </c>
      <c r="E8" s="86" t="str">
        <f aca="false">IF($C8="","",IF(AND(E$5&gt;=$C8,E$5&lt;=$D8),IF(E$5&lt;$C8+COUNTIFS('SDE Plan'!$F$6:$F$78,$B8,'SDE Plan'!$B$6:$B$78,"Yes",'SDE Plan'!$L$6:$L$78,"Done"),2,1),""))</f>
        <v/>
      </c>
      <c r="F8" s="86" t="str">
        <f aca="false">IF($C8="","",IF(AND(F$5&gt;=$C8,F$5&lt;=$D8),IF(F$5&lt;$C8+COUNTIFS('SDE Plan'!$F$6:$F$78,$B8,'SDE Plan'!$B$6:$B$78,"Yes",'SDE Plan'!$L$6:$L$78,"Done"),2,1),""))</f>
        <v/>
      </c>
      <c r="G8" s="86" t="str">
        <f aca="false">IF($C8="","",IF(AND(G$5&gt;=$C8,G$5&lt;=$D8),IF(G$5&lt;$C8+COUNTIFS('SDE Plan'!$F$6:$F$78,$B8,'SDE Plan'!$B$6:$B$78,"Yes",'SDE Plan'!$L$6:$L$78,"Done"),2,1),""))</f>
        <v/>
      </c>
      <c r="H8" s="86" t="str">
        <f aca="false">IF($C8="","",IF(AND(H$5&gt;=$C8,H$5&lt;=$D8),IF(H$5&lt;$C8+COUNTIFS('SDE Plan'!$F$6:$F$78,$B8,'SDE Plan'!$B$6:$B$78,"Yes",'SDE Plan'!$L$6:$L$78,"Done"),2,1),""))</f>
        <v/>
      </c>
      <c r="I8" s="86" t="str">
        <f aca="false">IF($C8="","",IF(AND(I$5&gt;=$C8,I$5&lt;=$D8),IF(I$5&lt;$C8+COUNTIFS('SDE Plan'!$F$6:$F$78,$B8,'SDE Plan'!$B$6:$B$78,"Yes",'SDE Plan'!$L$6:$L$78,"Done"),2,1),""))</f>
        <v/>
      </c>
      <c r="J8" s="86" t="str">
        <f aca="false">IF($C8="","",IF(AND(J$5&gt;=$C8,J$5&lt;=$D8),IF(J$5&lt;$C8+COUNTIFS('SDE Plan'!$F$6:$F$78,$B8,'SDE Plan'!$B$6:$B$78,"Yes",'SDE Plan'!$L$6:$L$78,"Done"),2,1),""))</f>
        <v/>
      </c>
      <c r="K8" s="86" t="str">
        <f aca="false">IF($C8="","",IF(AND(K$5&gt;=$C8,K$5&lt;=$D8),IF(K$5&lt;$C8+COUNTIFS('SDE Plan'!$F$6:$F$78,$B8,'SDE Plan'!$B$6:$B$78,"Yes",'SDE Plan'!$L$6:$L$78,"Done"),2,1),""))</f>
        <v/>
      </c>
      <c r="L8" s="86" t="str">
        <f aca="false">IF($C8="","",IF(AND(L$5&gt;=$C8,L$5&lt;=$D8),IF(L$5&lt;$C8+COUNTIFS('SDE Plan'!$F$6:$F$78,$B8,'SDE Plan'!$B$6:$B$78,"Yes",'SDE Plan'!$L$6:$L$78,"Done"),2,1),""))</f>
        <v/>
      </c>
      <c r="M8" s="86" t="str">
        <f aca="false">IF($C8="","",IF(AND(M$5&gt;=$C8,M$5&lt;=$D8),IF(M$5&lt;$C8+COUNTIFS('SDE Plan'!$F$6:$F$78,$B8,'SDE Plan'!$B$6:$B$78,"Yes",'SDE Plan'!$L$6:$L$78,"Done"),2,1),""))</f>
        <v/>
      </c>
      <c r="N8" s="86" t="str">
        <f aca="false">IF($C8="","",IF(AND(N$5&gt;=$C8,N$5&lt;=$D8),IF(N$5&lt;$C8+COUNTIFS('SDE Plan'!$F$6:$F$78,$B8,'SDE Plan'!$B$6:$B$78,"Yes",'SDE Plan'!$L$6:$L$78,"Done"),2,1),""))</f>
        <v/>
      </c>
      <c r="O8" s="86" t="str">
        <f aca="false">IF($C8="","",IF(AND(O$5&gt;=$C8,O$5&lt;=$D8),IF(O$5&lt;$C8+COUNTIFS('SDE Plan'!$F$6:$F$78,$B8,'SDE Plan'!$B$6:$B$78,"Yes",'SDE Plan'!$L$6:$L$78,"Done"),2,1),""))</f>
        <v/>
      </c>
      <c r="P8" s="86" t="str">
        <f aca="false">IF($C8="","",IF(AND(P$5&gt;=$C8,P$5&lt;=$D8),IF(P$5&lt;$C8+COUNTIFS('SDE Plan'!$F$6:$F$78,$B8,'SDE Plan'!$B$6:$B$78,"Yes",'SDE Plan'!$L$6:$L$78,"Done"),2,1),""))</f>
        <v/>
      </c>
      <c r="Q8" s="86" t="str">
        <f aca="false">IF($C8="","",IF(AND(Q$5&gt;=$C8,Q$5&lt;=$D8),IF(Q$5&lt;$C8+COUNTIFS('SDE Plan'!$F$6:$F$78,$B8,'SDE Plan'!$B$6:$B$78,"Yes",'SDE Plan'!$L$6:$L$78,"Done"),2,1),""))</f>
        <v/>
      </c>
      <c r="R8" s="86" t="str">
        <f aca="false">IF($C8="","",IF(AND(R$5&gt;=$C8,R$5&lt;=$D8),IF(R$5&lt;$C8+COUNTIFS('SDE Plan'!$F$6:$F$78,$B8,'SDE Plan'!$B$6:$B$78,"Yes",'SDE Plan'!$L$6:$L$78,"Done"),2,1),""))</f>
        <v/>
      </c>
      <c r="S8" s="86" t="str">
        <f aca="false">IF($C8="","",IF(AND(S$5&gt;=$C8,S$5&lt;=$D8),IF(S$5&lt;$C8+COUNTIFS('SDE Plan'!$F$6:$F$78,$B8,'SDE Plan'!$B$6:$B$78,"Yes",'SDE Plan'!$L$6:$L$78,"Done"),2,1),""))</f>
        <v/>
      </c>
      <c r="T8" s="86" t="str">
        <f aca="false">IF($C8="","",IF(AND(T$5&gt;=$C8,T$5&lt;=$D8),IF(T$5&lt;$C8+COUNTIFS('SDE Plan'!$F$6:$F$78,$B8,'SDE Plan'!$B$6:$B$78,"Yes",'SDE Plan'!$L$6:$L$78,"Done"),2,1),""))</f>
        <v/>
      </c>
      <c r="U8" s="86" t="str">
        <f aca="false">IF($C8="","",IF(AND(U$5&gt;=$C8,U$5&lt;=$D8),IF(U$5&lt;$C8+COUNTIFS('SDE Plan'!$F$6:$F$78,$B8,'SDE Plan'!$B$6:$B$78,"Yes",'SDE Plan'!$L$6:$L$78,"Done"),2,1),""))</f>
        <v/>
      </c>
      <c r="V8" s="86" t="str">
        <f aca="false">IF($C8="","",IF(AND(V$5&gt;=$C8,V$5&lt;=$D8),IF(V$5&lt;$C8+COUNTIFS('SDE Plan'!$F$6:$F$78,$B8,'SDE Plan'!$B$6:$B$78,"Yes",'SDE Plan'!$L$6:$L$78,"Done"),2,1),""))</f>
        <v/>
      </c>
      <c r="W8" s="86" t="str">
        <f aca="false">IF($C8="","",IF(AND(W$5&gt;=$C8,W$5&lt;=$D8),IF(W$5&lt;$C8+COUNTIFS('SDE Plan'!$F$6:$F$78,$B8,'SDE Plan'!$B$6:$B$78,"Yes",'SDE Plan'!$L$6:$L$78,"Done"),2,1),""))</f>
        <v/>
      </c>
      <c r="X8" s="86" t="str">
        <f aca="false">IF($C8="","",IF(AND(X$5&gt;=$C8,X$5&lt;=$D8),IF(X$5&lt;$C8+COUNTIFS('SDE Plan'!$F$6:$F$78,$B8,'SDE Plan'!$B$6:$B$78,"Yes",'SDE Plan'!$L$6:$L$78,"Done"),2,1),""))</f>
        <v/>
      </c>
      <c r="Y8" s="86" t="str">
        <f aca="false">IF($C8="","",IF(AND(Y$5&gt;=$C8,Y$5&lt;=$D8),IF(Y$5&lt;$C8+COUNTIFS('SDE Plan'!$F$6:$F$78,$B8,'SDE Plan'!$B$6:$B$78,"Yes",'SDE Plan'!$L$6:$L$78,"Done"),2,1),""))</f>
        <v/>
      </c>
      <c r="Z8" s="86" t="str">
        <f aca="false">IF($C8="","",IF(AND(Z$5&gt;=$C8,Z$5&lt;=$D8),IF(Z$5&lt;$C8+COUNTIFS('SDE Plan'!$F$6:$F$78,$B8,'SDE Plan'!$B$6:$B$78,"Yes",'SDE Plan'!$L$6:$L$78,"Done"),2,1),""))</f>
        <v/>
      </c>
      <c r="AA8" s="86" t="str">
        <f aca="false">IF($C8="","",IF(AND(AA$5&gt;=$C8,AA$5&lt;=$D8),IF(AA$5&lt;$C8+COUNTIFS('SDE Plan'!$F$6:$F$78,$B8,'SDE Plan'!$B$6:$B$78,"Yes",'SDE Plan'!$L$6:$L$78,"Done"),2,1),""))</f>
        <v/>
      </c>
      <c r="AB8" s="86" t="str">
        <f aca="false">IF($C8="","",IF(AND(AB$5&gt;=$C8,AB$5&lt;=$D8),IF(AB$5&lt;$C8+COUNTIFS('SDE Plan'!$F$6:$F$78,$B8,'SDE Plan'!$B$6:$B$78,"Yes",'SDE Plan'!$L$6:$L$78,"Done"),2,1),""))</f>
        <v/>
      </c>
      <c r="AC8" s="86" t="str">
        <f aca="false">IF($C8="","",IF(AND(AC$5&gt;=$C8,AC$5&lt;=$D8),IF(AC$5&lt;$C8+COUNTIFS('SDE Plan'!$F$6:$F$78,$B8,'SDE Plan'!$B$6:$B$78,"Yes",'SDE Plan'!$L$6:$L$78,"Done"),2,1),""))</f>
        <v/>
      </c>
      <c r="AD8" s="86" t="str">
        <f aca="false">IF($C8="","",IF(AND(AD$5&gt;=$C8,AD$5&lt;=$D8),IF(AD$5&lt;$C8+COUNTIFS('SDE Plan'!$F$6:$F$78,$B8,'SDE Plan'!$B$6:$B$78,"Yes",'SDE Plan'!$L$6:$L$78,"Done"),2,1),""))</f>
        <v/>
      </c>
      <c r="AE8" s="86" t="str">
        <f aca="false">IF($C8="","",IF(AND(AE$5&gt;=$C8,AE$5&lt;=$D8),IF(AE$5&lt;$C8+COUNTIFS('SDE Plan'!$F$6:$F$78,$B8,'SDE Plan'!$B$6:$B$78,"Yes",'SDE Plan'!$L$6:$L$78,"Done"),2,1),""))</f>
        <v/>
      </c>
      <c r="AF8" s="86" t="str">
        <f aca="false">IF($C8="","",IF(AND(AF$5&gt;=$C8,AF$5&lt;=$D8),IF(AF$5&lt;$C8+COUNTIFS('SDE Plan'!$F$6:$F$78,$B8,'SDE Plan'!$B$6:$B$78,"Yes",'SDE Plan'!$L$6:$L$78,"Done"),2,1),""))</f>
        <v/>
      </c>
      <c r="AG8" s="86" t="str">
        <f aca="false">IF($C8="","",IF(AND(AG$5&gt;=$C8,AG$5&lt;=$D8),IF(AG$5&lt;$C8+COUNTIFS('SDE Plan'!$F$6:$F$78,$B8,'SDE Plan'!$B$6:$B$78,"Yes",'SDE Plan'!$L$6:$L$78,"Done"),2,1),""))</f>
        <v/>
      </c>
      <c r="AH8" s="86" t="str">
        <f aca="false">IF($C8="","",IF(AND(AH$5&gt;=$C8,AH$5&lt;=$D8),IF(AH$5&lt;$C8+COUNTIFS('SDE Plan'!$F$6:$F$78,$B8,'SDE Plan'!$B$6:$B$78,"Yes",'SDE Plan'!$L$6:$L$78,"Done"),2,1),""))</f>
        <v/>
      </c>
      <c r="AI8" s="86" t="str">
        <f aca="false">IF($C8="","",IF(AND(AI$5&gt;=$C8,AI$5&lt;=$D8),IF(AI$5&lt;$C8+COUNTIFS('SDE Plan'!$F$6:$F$78,$B8,'SDE Plan'!$B$6:$B$78,"Yes",'SDE Plan'!$L$6:$L$78,"Done"),2,1),""))</f>
        <v/>
      </c>
      <c r="AJ8" s="86" t="str">
        <f aca="false">IF($C8="","",IF(AND(AJ$5&gt;=$C8,AJ$5&lt;=$D8),IF(AJ$5&lt;$C8+COUNTIFS('SDE Plan'!$F$6:$F$78,$B8,'SDE Plan'!$B$6:$B$78,"Yes",'SDE Plan'!$L$6:$L$78,"Done"),2,1),""))</f>
        <v/>
      </c>
      <c r="AK8" s="86" t="str">
        <f aca="false">IF($C8="","",IF(AND(AK$5&gt;=$C8,AK$5&lt;=$D8),IF(AK$5&lt;$C8+COUNTIFS('SDE Plan'!$F$6:$F$78,$B8,'SDE Plan'!$B$6:$B$78,"Yes",'SDE Plan'!$L$6:$L$78,"Done"),2,1),""))</f>
        <v/>
      </c>
      <c r="AL8" s="86" t="str">
        <f aca="false">IF($C8="","",IF(AND(AL$5&gt;=$C8,AL$5&lt;=$D8),IF(AL$5&lt;$C8+COUNTIFS('SDE Plan'!$F$6:$F$78,$B8,'SDE Plan'!$B$6:$B$78,"Yes",'SDE Plan'!$L$6:$L$78,"Done"),2,1),""))</f>
        <v/>
      </c>
      <c r="AM8" s="86" t="str">
        <f aca="false">IF($C8="","",IF(AND(AM$5&gt;=$C8,AM$5&lt;=$D8),IF(AM$5&lt;$C8+COUNTIFS('SDE Plan'!$F$6:$F$78,$B8,'SDE Plan'!$B$6:$B$78,"Yes",'SDE Plan'!$L$6:$L$78,"Done"),2,1),""))</f>
        <v/>
      </c>
      <c r="AN8" s="86" t="str">
        <f aca="false">IF($C8="","",IF(AND(AN$5&gt;=$C8,AN$5&lt;=$D8),IF(AN$5&lt;$C8+COUNTIFS('SDE Plan'!$F$6:$F$78,$B8,'SDE Plan'!$B$6:$B$78,"Yes",'SDE Plan'!$L$6:$L$78,"Done"),2,1),""))</f>
        <v/>
      </c>
      <c r="AO8" s="86" t="str">
        <f aca="false">IF($C8="","",IF(AND(AO$5&gt;=$C8,AO$5&lt;=$D8),IF(AO$5&lt;$C8+COUNTIFS('SDE Plan'!$F$6:$F$78,$B8,'SDE Plan'!$B$6:$B$78,"Yes",'SDE Plan'!$L$6:$L$78,"Done"),2,1),""))</f>
        <v/>
      </c>
      <c r="AP8" s="86" t="str">
        <f aca="false">IF($C8="","",IF(AND(AP$5&gt;=$C8,AP$5&lt;=$D8),IF(AP$5&lt;$C8+COUNTIFS('SDE Plan'!$F$6:$F$78,$B8,'SDE Plan'!$B$6:$B$78,"Yes",'SDE Plan'!$L$6:$L$78,"Done"),2,1),""))</f>
        <v/>
      </c>
      <c r="AQ8" s="86" t="str">
        <f aca="false">IF($C8="","",IF(AND(AQ$5&gt;=$C8,AQ$5&lt;=$D8),IF(AQ$5&lt;$C8+COUNTIFS('SDE Plan'!$F$6:$F$78,$B8,'SDE Plan'!$B$6:$B$78,"Yes",'SDE Plan'!$L$6:$L$78,"Done"),2,1),""))</f>
        <v/>
      </c>
    </row>
    <row r="9" customFormat="false" ht="18" hidden="false" customHeight="true" outlineLevel="0" collapsed="false">
      <c r="A9" s="84" t="s">
        <v>19</v>
      </c>
      <c r="B9" s="87" t="s">
        <v>98</v>
      </c>
      <c r="C9" s="84" t="n">
        <f aca="false">IF(COUNTIFS('SDE Plan'!$F$6:$F$78,$B9,'SDE Plan'!$B$6:$B$78,"Yes")=0,"",_xlfn.MINIFS('SDE Plan'!$A$6:$A$78,'SDE Plan'!$F$6:$F$78,$B9,'SDE Plan'!$B$6:$B$78,"Yes"))</f>
        <v>1</v>
      </c>
      <c r="D9" s="84" t="n">
        <f aca="false">IF(COUNTIFS('SDE Plan'!$F$6:$F$78,$B9,'SDE Plan'!$B$6:$B$78,"Yes")=0,"",_xlfn.MAXIFS('SDE Plan'!$A$6:$A$78,'SDE Plan'!$F$6:$F$78,$B9,'SDE Plan'!$B$6:$B$78,"Yes"))</f>
        <v>2</v>
      </c>
      <c r="E9" s="86" t="n">
        <f aca="false">IF($C9="","",IF(AND(E$5&gt;=$C9,E$5&lt;=$D9),IF(E$5&lt;$C9+COUNTIFS('SDE Plan'!$F$6:$F$78,$B9,'SDE Plan'!$B$6:$B$78,"Yes",'SDE Plan'!$L$6:$L$78,"Done"),2,1),""))</f>
        <v>1</v>
      </c>
      <c r="F9" s="86" t="n">
        <f aca="false">IF($C9="","",IF(AND(F$5&gt;=$C9,F$5&lt;=$D9),IF(F$5&lt;$C9+COUNTIFS('SDE Plan'!$F$6:$F$78,$B9,'SDE Plan'!$B$6:$B$78,"Yes",'SDE Plan'!$L$6:$L$78,"Done"),2,1),""))</f>
        <v>1</v>
      </c>
      <c r="G9" s="86" t="str">
        <f aca="false">IF($C9="","",IF(AND(G$5&gt;=$C9,G$5&lt;=$D9),IF(G$5&lt;$C9+COUNTIFS('SDE Plan'!$F$6:$F$78,$B9,'SDE Plan'!$B$6:$B$78,"Yes",'SDE Plan'!$L$6:$L$78,"Done"),2,1),""))</f>
        <v/>
      </c>
      <c r="H9" s="86" t="str">
        <f aca="false">IF($C9="","",IF(AND(H$5&gt;=$C9,H$5&lt;=$D9),IF(H$5&lt;$C9+COUNTIFS('SDE Plan'!$F$6:$F$78,$B9,'SDE Plan'!$B$6:$B$78,"Yes",'SDE Plan'!$L$6:$L$78,"Done"),2,1),""))</f>
        <v/>
      </c>
      <c r="I9" s="86" t="str">
        <f aca="false">IF($C9="","",IF(AND(I$5&gt;=$C9,I$5&lt;=$D9),IF(I$5&lt;$C9+COUNTIFS('SDE Plan'!$F$6:$F$78,$B9,'SDE Plan'!$B$6:$B$78,"Yes",'SDE Plan'!$L$6:$L$78,"Done"),2,1),""))</f>
        <v/>
      </c>
      <c r="J9" s="86" t="str">
        <f aca="false">IF($C9="","",IF(AND(J$5&gt;=$C9,J$5&lt;=$D9),IF(J$5&lt;$C9+COUNTIFS('SDE Plan'!$F$6:$F$78,$B9,'SDE Plan'!$B$6:$B$78,"Yes",'SDE Plan'!$L$6:$L$78,"Done"),2,1),""))</f>
        <v/>
      </c>
      <c r="K9" s="86" t="str">
        <f aca="false">IF($C9="","",IF(AND(K$5&gt;=$C9,K$5&lt;=$D9),IF(K$5&lt;$C9+COUNTIFS('SDE Plan'!$F$6:$F$78,$B9,'SDE Plan'!$B$6:$B$78,"Yes",'SDE Plan'!$L$6:$L$78,"Done"),2,1),""))</f>
        <v/>
      </c>
      <c r="L9" s="86" t="str">
        <f aca="false">IF($C9="","",IF(AND(L$5&gt;=$C9,L$5&lt;=$D9),IF(L$5&lt;$C9+COUNTIFS('SDE Plan'!$F$6:$F$78,$B9,'SDE Plan'!$B$6:$B$78,"Yes",'SDE Plan'!$L$6:$L$78,"Done"),2,1),""))</f>
        <v/>
      </c>
      <c r="M9" s="86" t="str">
        <f aca="false">IF($C9="","",IF(AND(M$5&gt;=$C9,M$5&lt;=$D9),IF(M$5&lt;$C9+COUNTIFS('SDE Plan'!$F$6:$F$78,$B9,'SDE Plan'!$B$6:$B$78,"Yes",'SDE Plan'!$L$6:$L$78,"Done"),2,1),""))</f>
        <v/>
      </c>
      <c r="N9" s="86" t="str">
        <f aca="false">IF($C9="","",IF(AND(N$5&gt;=$C9,N$5&lt;=$D9),IF(N$5&lt;$C9+COUNTIFS('SDE Plan'!$F$6:$F$78,$B9,'SDE Plan'!$B$6:$B$78,"Yes",'SDE Plan'!$L$6:$L$78,"Done"),2,1),""))</f>
        <v/>
      </c>
      <c r="O9" s="86" t="str">
        <f aca="false">IF($C9="","",IF(AND(O$5&gt;=$C9,O$5&lt;=$D9),IF(O$5&lt;$C9+COUNTIFS('SDE Plan'!$F$6:$F$78,$B9,'SDE Plan'!$B$6:$B$78,"Yes",'SDE Plan'!$L$6:$L$78,"Done"),2,1),""))</f>
        <v/>
      </c>
      <c r="P9" s="86" t="str">
        <f aca="false">IF($C9="","",IF(AND(P$5&gt;=$C9,P$5&lt;=$D9),IF(P$5&lt;$C9+COUNTIFS('SDE Plan'!$F$6:$F$78,$B9,'SDE Plan'!$B$6:$B$78,"Yes",'SDE Plan'!$L$6:$L$78,"Done"),2,1),""))</f>
        <v/>
      </c>
      <c r="Q9" s="86" t="str">
        <f aca="false">IF($C9="","",IF(AND(Q$5&gt;=$C9,Q$5&lt;=$D9),IF(Q$5&lt;$C9+COUNTIFS('SDE Plan'!$F$6:$F$78,$B9,'SDE Plan'!$B$6:$B$78,"Yes",'SDE Plan'!$L$6:$L$78,"Done"),2,1),""))</f>
        <v/>
      </c>
      <c r="R9" s="86" t="str">
        <f aca="false">IF($C9="","",IF(AND(R$5&gt;=$C9,R$5&lt;=$D9),IF(R$5&lt;$C9+COUNTIFS('SDE Plan'!$F$6:$F$78,$B9,'SDE Plan'!$B$6:$B$78,"Yes",'SDE Plan'!$L$6:$L$78,"Done"),2,1),""))</f>
        <v/>
      </c>
      <c r="S9" s="86" t="str">
        <f aca="false">IF($C9="","",IF(AND(S$5&gt;=$C9,S$5&lt;=$D9),IF(S$5&lt;$C9+COUNTIFS('SDE Plan'!$F$6:$F$78,$B9,'SDE Plan'!$B$6:$B$78,"Yes",'SDE Plan'!$L$6:$L$78,"Done"),2,1),""))</f>
        <v/>
      </c>
      <c r="T9" s="86" t="str">
        <f aca="false">IF($C9="","",IF(AND(T$5&gt;=$C9,T$5&lt;=$D9),IF(T$5&lt;$C9+COUNTIFS('SDE Plan'!$F$6:$F$78,$B9,'SDE Plan'!$B$6:$B$78,"Yes",'SDE Plan'!$L$6:$L$78,"Done"),2,1),""))</f>
        <v/>
      </c>
      <c r="U9" s="86" t="str">
        <f aca="false">IF($C9="","",IF(AND(U$5&gt;=$C9,U$5&lt;=$D9),IF(U$5&lt;$C9+COUNTIFS('SDE Plan'!$F$6:$F$78,$B9,'SDE Plan'!$B$6:$B$78,"Yes",'SDE Plan'!$L$6:$L$78,"Done"),2,1),""))</f>
        <v/>
      </c>
      <c r="V9" s="86" t="str">
        <f aca="false">IF($C9="","",IF(AND(V$5&gt;=$C9,V$5&lt;=$D9),IF(V$5&lt;$C9+COUNTIFS('SDE Plan'!$F$6:$F$78,$B9,'SDE Plan'!$B$6:$B$78,"Yes",'SDE Plan'!$L$6:$L$78,"Done"),2,1),""))</f>
        <v/>
      </c>
      <c r="W9" s="86" t="str">
        <f aca="false">IF($C9="","",IF(AND(W$5&gt;=$C9,W$5&lt;=$D9),IF(W$5&lt;$C9+COUNTIFS('SDE Plan'!$F$6:$F$78,$B9,'SDE Plan'!$B$6:$B$78,"Yes",'SDE Plan'!$L$6:$L$78,"Done"),2,1),""))</f>
        <v/>
      </c>
      <c r="X9" s="86" t="str">
        <f aca="false">IF($C9="","",IF(AND(X$5&gt;=$C9,X$5&lt;=$D9),IF(X$5&lt;$C9+COUNTIFS('SDE Plan'!$F$6:$F$78,$B9,'SDE Plan'!$B$6:$B$78,"Yes",'SDE Plan'!$L$6:$L$78,"Done"),2,1),""))</f>
        <v/>
      </c>
      <c r="Y9" s="86" t="str">
        <f aca="false">IF($C9="","",IF(AND(Y$5&gt;=$C9,Y$5&lt;=$D9),IF(Y$5&lt;$C9+COUNTIFS('SDE Plan'!$F$6:$F$78,$B9,'SDE Plan'!$B$6:$B$78,"Yes",'SDE Plan'!$L$6:$L$78,"Done"),2,1),""))</f>
        <v/>
      </c>
      <c r="Z9" s="86" t="str">
        <f aca="false">IF($C9="","",IF(AND(Z$5&gt;=$C9,Z$5&lt;=$D9),IF(Z$5&lt;$C9+COUNTIFS('SDE Plan'!$F$6:$F$78,$B9,'SDE Plan'!$B$6:$B$78,"Yes",'SDE Plan'!$L$6:$L$78,"Done"),2,1),""))</f>
        <v/>
      </c>
      <c r="AA9" s="86" t="str">
        <f aca="false">IF($C9="","",IF(AND(AA$5&gt;=$C9,AA$5&lt;=$D9),IF(AA$5&lt;$C9+COUNTIFS('SDE Plan'!$F$6:$F$78,$B9,'SDE Plan'!$B$6:$B$78,"Yes",'SDE Plan'!$L$6:$L$78,"Done"),2,1),""))</f>
        <v/>
      </c>
      <c r="AB9" s="86" t="str">
        <f aca="false">IF($C9="","",IF(AND(AB$5&gt;=$C9,AB$5&lt;=$D9),IF(AB$5&lt;$C9+COUNTIFS('SDE Plan'!$F$6:$F$78,$B9,'SDE Plan'!$B$6:$B$78,"Yes",'SDE Plan'!$L$6:$L$78,"Done"),2,1),""))</f>
        <v/>
      </c>
      <c r="AC9" s="86" t="str">
        <f aca="false">IF($C9="","",IF(AND(AC$5&gt;=$C9,AC$5&lt;=$D9),IF(AC$5&lt;$C9+COUNTIFS('SDE Plan'!$F$6:$F$78,$B9,'SDE Plan'!$B$6:$B$78,"Yes",'SDE Plan'!$L$6:$L$78,"Done"),2,1),""))</f>
        <v/>
      </c>
      <c r="AD9" s="86" t="str">
        <f aca="false">IF($C9="","",IF(AND(AD$5&gt;=$C9,AD$5&lt;=$D9),IF(AD$5&lt;$C9+COUNTIFS('SDE Plan'!$F$6:$F$78,$B9,'SDE Plan'!$B$6:$B$78,"Yes",'SDE Plan'!$L$6:$L$78,"Done"),2,1),""))</f>
        <v/>
      </c>
      <c r="AE9" s="86" t="str">
        <f aca="false">IF($C9="","",IF(AND(AE$5&gt;=$C9,AE$5&lt;=$D9),IF(AE$5&lt;$C9+COUNTIFS('SDE Plan'!$F$6:$F$78,$B9,'SDE Plan'!$B$6:$B$78,"Yes",'SDE Plan'!$L$6:$L$78,"Done"),2,1),""))</f>
        <v/>
      </c>
      <c r="AF9" s="86" t="str">
        <f aca="false">IF($C9="","",IF(AND(AF$5&gt;=$C9,AF$5&lt;=$D9),IF(AF$5&lt;$C9+COUNTIFS('SDE Plan'!$F$6:$F$78,$B9,'SDE Plan'!$B$6:$B$78,"Yes",'SDE Plan'!$L$6:$L$78,"Done"),2,1),""))</f>
        <v/>
      </c>
      <c r="AG9" s="86" t="str">
        <f aca="false">IF($C9="","",IF(AND(AG$5&gt;=$C9,AG$5&lt;=$D9),IF(AG$5&lt;$C9+COUNTIFS('SDE Plan'!$F$6:$F$78,$B9,'SDE Plan'!$B$6:$B$78,"Yes",'SDE Plan'!$L$6:$L$78,"Done"),2,1),""))</f>
        <v/>
      </c>
      <c r="AH9" s="86" t="str">
        <f aca="false">IF($C9="","",IF(AND(AH$5&gt;=$C9,AH$5&lt;=$D9),IF(AH$5&lt;$C9+COUNTIFS('SDE Plan'!$F$6:$F$78,$B9,'SDE Plan'!$B$6:$B$78,"Yes",'SDE Plan'!$L$6:$L$78,"Done"),2,1),""))</f>
        <v/>
      </c>
      <c r="AI9" s="86" t="str">
        <f aca="false">IF($C9="","",IF(AND(AI$5&gt;=$C9,AI$5&lt;=$D9),IF(AI$5&lt;$C9+COUNTIFS('SDE Plan'!$F$6:$F$78,$B9,'SDE Plan'!$B$6:$B$78,"Yes",'SDE Plan'!$L$6:$L$78,"Done"),2,1),""))</f>
        <v/>
      </c>
      <c r="AJ9" s="86" t="str">
        <f aca="false">IF($C9="","",IF(AND(AJ$5&gt;=$C9,AJ$5&lt;=$D9),IF(AJ$5&lt;$C9+COUNTIFS('SDE Plan'!$F$6:$F$78,$B9,'SDE Plan'!$B$6:$B$78,"Yes",'SDE Plan'!$L$6:$L$78,"Done"),2,1),""))</f>
        <v/>
      </c>
      <c r="AK9" s="86" t="str">
        <f aca="false">IF($C9="","",IF(AND(AK$5&gt;=$C9,AK$5&lt;=$D9),IF(AK$5&lt;$C9+COUNTIFS('SDE Plan'!$F$6:$F$78,$B9,'SDE Plan'!$B$6:$B$78,"Yes",'SDE Plan'!$L$6:$L$78,"Done"),2,1),""))</f>
        <v/>
      </c>
      <c r="AL9" s="86" t="str">
        <f aca="false">IF($C9="","",IF(AND(AL$5&gt;=$C9,AL$5&lt;=$D9),IF(AL$5&lt;$C9+COUNTIFS('SDE Plan'!$F$6:$F$78,$B9,'SDE Plan'!$B$6:$B$78,"Yes",'SDE Plan'!$L$6:$L$78,"Done"),2,1),""))</f>
        <v/>
      </c>
      <c r="AM9" s="86" t="str">
        <f aca="false">IF($C9="","",IF(AND(AM$5&gt;=$C9,AM$5&lt;=$D9),IF(AM$5&lt;$C9+COUNTIFS('SDE Plan'!$F$6:$F$78,$B9,'SDE Plan'!$B$6:$B$78,"Yes",'SDE Plan'!$L$6:$L$78,"Done"),2,1),""))</f>
        <v/>
      </c>
      <c r="AN9" s="86" t="str">
        <f aca="false">IF($C9="","",IF(AND(AN$5&gt;=$C9,AN$5&lt;=$D9),IF(AN$5&lt;$C9+COUNTIFS('SDE Plan'!$F$6:$F$78,$B9,'SDE Plan'!$B$6:$B$78,"Yes",'SDE Plan'!$L$6:$L$78,"Done"),2,1),""))</f>
        <v/>
      </c>
      <c r="AO9" s="86" t="str">
        <f aca="false">IF($C9="","",IF(AND(AO$5&gt;=$C9,AO$5&lt;=$D9),IF(AO$5&lt;$C9+COUNTIFS('SDE Plan'!$F$6:$F$78,$B9,'SDE Plan'!$B$6:$B$78,"Yes",'SDE Plan'!$L$6:$L$78,"Done"),2,1),""))</f>
        <v/>
      </c>
      <c r="AP9" s="86" t="str">
        <f aca="false">IF($C9="","",IF(AND(AP$5&gt;=$C9,AP$5&lt;=$D9),IF(AP$5&lt;$C9+COUNTIFS('SDE Plan'!$F$6:$F$78,$B9,'SDE Plan'!$B$6:$B$78,"Yes",'SDE Plan'!$L$6:$L$78,"Done"),2,1),""))</f>
        <v/>
      </c>
      <c r="AQ9" s="86" t="str">
        <f aca="false">IF($C9="","",IF(AND(AQ$5&gt;=$C9,AQ$5&lt;=$D9),IF(AQ$5&lt;$C9+COUNTIFS('SDE Plan'!$F$6:$F$78,$B9,'SDE Plan'!$B$6:$B$78,"Yes",'SDE Plan'!$L$6:$L$78,"Done"),2,1),""))</f>
        <v/>
      </c>
    </row>
    <row r="10" customFormat="false" ht="18" hidden="false" customHeight="true" outlineLevel="0" collapsed="false">
      <c r="A10" s="84" t="s">
        <v>19</v>
      </c>
      <c r="B10" s="88" t="s">
        <v>99</v>
      </c>
      <c r="C10" s="84" t="n">
        <f aca="false">IF(COUNTIFS('SDE Plan'!$F$6:$F$78,$B10,'SDE Plan'!$B$6:$B$78,"Yes")=0,"",_xlfn.MINIFS('SDE Plan'!$A$6:$A$78,'SDE Plan'!$F$6:$F$78,$B10,'SDE Plan'!$B$6:$B$78,"Yes"))</f>
        <v>3</v>
      </c>
      <c r="D10" s="84" t="n">
        <f aca="false">IF(COUNTIFS('SDE Plan'!$F$6:$F$78,$B10,'SDE Plan'!$B$6:$B$78,"Yes")=0,"",_xlfn.MAXIFS('SDE Plan'!$A$6:$A$78,'SDE Plan'!$F$6:$F$78,$B10,'SDE Plan'!$B$6:$B$78,"Yes"))</f>
        <v>4</v>
      </c>
      <c r="E10" s="86" t="str">
        <f aca="false">IF($C10="","",IF(AND(E$5&gt;=$C10,E$5&lt;=$D10),IF(E$5&lt;$C10+COUNTIFS('SDE Plan'!$F$6:$F$78,$B10,'SDE Plan'!$B$6:$B$78,"Yes",'SDE Plan'!$L$6:$L$78,"Done"),2,1),""))</f>
        <v/>
      </c>
      <c r="F10" s="86" t="str">
        <f aca="false">IF($C10="","",IF(AND(F$5&gt;=$C10,F$5&lt;=$D10),IF(F$5&lt;$C10+COUNTIFS('SDE Plan'!$F$6:$F$78,$B10,'SDE Plan'!$B$6:$B$78,"Yes",'SDE Plan'!$L$6:$L$78,"Done"),2,1),""))</f>
        <v/>
      </c>
      <c r="G10" s="86" t="n">
        <f aca="false">IF($C10="","",IF(AND(G$5&gt;=$C10,G$5&lt;=$D10),IF(G$5&lt;$C10+COUNTIFS('SDE Plan'!$F$6:$F$78,$B10,'SDE Plan'!$B$6:$B$78,"Yes",'SDE Plan'!$L$6:$L$78,"Done"),2,1),""))</f>
        <v>1</v>
      </c>
      <c r="H10" s="86" t="n">
        <f aca="false">IF($C10="","",IF(AND(H$5&gt;=$C10,H$5&lt;=$D10),IF(H$5&lt;$C10+COUNTIFS('SDE Plan'!$F$6:$F$78,$B10,'SDE Plan'!$B$6:$B$78,"Yes",'SDE Plan'!$L$6:$L$78,"Done"),2,1),""))</f>
        <v>1</v>
      </c>
      <c r="I10" s="86" t="str">
        <f aca="false">IF($C10="","",IF(AND(I$5&gt;=$C10,I$5&lt;=$D10),IF(I$5&lt;$C10+COUNTIFS('SDE Plan'!$F$6:$F$78,$B10,'SDE Plan'!$B$6:$B$78,"Yes",'SDE Plan'!$L$6:$L$78,"Done"),2,1),""))</f>
        <v/>
      </c>
      <c r="J10" s="86" t="str">
        <f aca="false">IF($C10="","",IF(AND(J$5&gt;=$C10,J$5&lt;=$D10),IF(J$5&lt;$C10+COUNTIFS('SDE Plan'!$F$6:$F$78,$B10,'SDE Plan'!$B$6:$B$78,"Yes",'SDE Plan'!$L$6:$L$78,"Done"),2,1),""))</f>
        <v/>
      </c>
      <c r="K10" s="86" t="str">
        <f aca="false">IF($C10="","",IF(AND(K$5&gt;=$C10,K$5&lt;=$D10),IF(K$5&lt;$C10+COUNTIFS('SDE Plan'!$F$6:$F$78,$B10,'SDE Plan'!$B$6:$B$78,"Yes",'SDE Plan'!$L$6:$L$78,"Done"),2,1),""))</f>
        <v/>
      </c>
      <c r="L10" s="86" t="str">
        <f aca="false">IF($C10="","",IF(AND(L$5&gt;=$C10,L$5&lt;=$D10),IF(L$5&lt;$C10+COUNTIFS('SDE Plan'!$F$6:$F$78,$B10,'SDE Plan'!$B$6:$B$78,"Yes",'SDE Plan'!$L$6:$L$78,"Done"),2,1),""))</f>
        <v/>
      </c>
      <c r="M10" s="86" t="str">
        <f aca="false">IF($C10="","",IF(AND(M$5&gt;=$C10,M$5&lt;=$D10),IF(M$5&lt;$C10+COUNTIFS('SDE Plan'!$F$6:$F$78,$B10,'SDE Plan'!$B$6:$B$78,"Yes",'SDE Plan'!$L$6:$L$78,"Done"),2,1),""))</f>
        <v/>
      </c>
      <c r="N10" s="86" t="str">
        <f aca="false">IF($C10="","",IF(AND(N$5&gt;=$C10,N$5&lt;=$D10),IF(N$5&lt;$C10+COUNTIFS('SDE Plan'!$F$6:$F$78,$B10,'SDE Plan'!$B$6:$B$78,"Yes",'SDE Plan'!$L$6:$L$78,"Done"),2,1),""))</f>
        <v/>
      </c>
      <c r="O10" s="86" t="str">
        <f aca="false">IF($C10="","",IF(AND(O$5&gt;=$C10,O$5&lt;=$D10),IF(O$5&lt;$C10+COUNTIFS('SDE Plan'!$F$6:$F$78,$B10,'SDE Plan'!$B$6:$B$78,"Yes",'SDE Plan'!$L$6:$L$78,"Done"),2,1),""))</f>
        <v/>
      </c>
      <c r="P10" s="86" t="str">
        <f aca="false">IF($C10="","",IF(AND(P$5&gt;=$C10,P$5&lt;=$D10),IF(P$5&lt;$C10+COUNTIFS('SDE Plan'!$F$6:$F$78,$B10,'SDE Plan'!$B$6:$B$78,"Yes",'SDE Plan'!$L$6:$L$78,"Done"),2,1),""))</f>
        <v/>
      </c>
      <c r="Q10" s="86" t="str">
        <f aca="false">IF($C10="","",IF(AND(Q$5&gt;=$C10,Q$5&lt;=$D10),IF(Q$5&lt;$C10+COUNTIFS('SDE Plan'!$F$6:$F$78,$B10,'SDE Plan'!$B$6:$B$78,"Yes",'SDE Plan'!$L$6:$L$78,"Done"),2,1),""))</f>
        <v/>
      </c>
      <c r="R10" s="86" t="str">
        <f aca="false">IF($C10="","",IF(AND(R$5&gt;=$C10,R$5&lt;=$D10),IF(R$5&lt;$C10+COUNTIFS('SDE Plan'!$F$6:$F$78,$B10,'SDE Plan'!$B$6:$B$78,"Yes",'SDE Plan'!$L$6:$L$78,"Done"),2,1),""))</f>
        <v/>
      </c>
      <c r="S10" s="86" t="str">
        <f aca="false">IF($C10="","",IF(AND(S$5&gt;=$C10,S$5&lt;=$D10),IF(S$5&lt;$C10+COUNTIFS('SDE Plan'!$F$6:$F$78,$B10,'SDE Plan'!$B$6:$B$78,"Yes",'SDE Plan'!$L$6:$L$78,"Done"),2,1),""))</f>
        <v/>
      </c>
      <c r="T10" s="86" t="str">
        <f aca="false">IF($C10="","",IF(AND(T$5&gt;=$C10,T$5&lt;=$D10),IF(T$5&lt;$C10+COUNTIFS('SDE Plan'!$F$6:$F$78,$B10,'SDE Plan'!$B$6:$B$78,"Yes",'SDE Plan'!$L$6:$L$78,"Done"),2,1),""))</f>
        <v/>
      </c>
      <c r="U10" s="86" t="str">
        <f aca="false">IF($C10="","",IF(AND(U$5&gt;=$C10,U$5&lt;=$D10),IF(U$5&lt;$C10+COUNTIFS('SDE Plan'!$F$6:$F$78,$B10,'SDE Plan'!$B$6:$B$78,"Yes",'SDE Plan'!$L$6:$L$78,"Done"),2,1),""))</f>
        <v/>
      </c>
      <c r="V10" s="86" t="str">
        <f aca="false">IF($C10="","",IF(AND(V$5&gt;=$C10,V$5&lt;=$D10),IF(V$5&lt;$C10+COUNTIFS('SDE Plan'!$F$6:$F$78,$B10,'SDE Plan'!$B$6:$B$78,"Yes",'SDE Plan'!$L$6:$L$78,"Done"),2,1),""))</f>
        <v/>
      </c>
      <c r="W10" s="86" t="str">
        <f aca="false">IF($C10="","",IF(AND(W$5&gt;=$C10,W$5&lt;=$D10),IF(W$5&lt;$C10+COUNTIFS('SDE Plan'!$F$6:$F$78,$B10,'SDE Plan'!$B$6:$B$78,"Yes",'SDE Plan'!$L$6:$L$78,"Done"),2,1),""))</f>
        <v/>
      </c>
      <c r="X10" s="86" t="str">
        <f aca="false">IF($C10="","",IF(AND(X$5&gt;=$C10,X$5&lt;=$D10),IF(X$5&lt;$C10+COUNTIFS('SDE Plan'!$F$6:$F$78,$B10,'SDE Plan'!$B$6:$B$78,"Yes",'SDE Plan'!$L$6:$L$78,"Done"),2,1),""))</f>
        <v/>
      </c>
      <c r="Y10" s="86" t="str">
        <f aca="false">IF($C10="","",IF(AND(Y$5&gt;=$C10,Y$5&lt;=$D10),IF(Y$5&lt;$C10+COUNTIFS('SDE Plan'!$F$6:$F$78,$B10,'SDE Plan'!$B$6:$B$78,"Yes",'SDE Plan'!$L$6:$L$78,"Done"),2,1),""))</f>
        <v/>
      </c>
      <c r="Z10" s="86" t="str">
        <f aca="false">IF($C10="","",IF(AND(Z$5&gt;=$C10,Z$5&lt;=$D10),IF(Z$5&lt;$C10+COUNTIFS('SDE Plan'!$F$6:$F$78,$B10,'SDE Plan'!$B$6:$B$78,"Yes",'SDE Plan'!$L$6:$L$78,"Done"),2,1),""))</f>
        <v/>
      </c>
      <c r="AA10" s="86" t="str">
        <f aca="false">IF($C10="","",IF(AND(AA$5&gt;=$C10,AA$5&lt;=$D10),IF(AA$5&lt;$C10+COUNTIFS('SDE Plan'!$F$6:$F$78,$B10,'SDE Plan'!$B$6:$B$78,"Yes",'SDE Plan'!$L$6:$L$78,"Done"),2,1),""))</f>
        <v/>
      </c>
      <c r="AB10" s="86" t="str">
        <f aca="false">IF($C10="","",IF(AND(AB$5&gt;=$C10,AB$5&lt;=$D10),IF(AB$5&lt;$C10+COUNTIFS('SDE Plan'!$F$6:$F$78,$B10,'SDE Plan'!$B$6:$B$78,"Yes",'SDE Plan'!$L$6:$L$78,"Done"),2,1),""))</f>
        <v/>
      </c>
      <c r="AC10" s="86" t="str">
        <f aca="false">IF($C10="","",IF(AND(AC$5&gt;=$C10,AC$5&lt;=$D10),IF(AC$5&lt;$C10+COUNTIFS('SDE Plan'!$F$6:$F$78,$B10,'SDE Plan'!$B$6:$B$78,"Yes",'SDE Plan'!$L$6:$L$78,"Done"),2,1),""))</f>
        <v/>
      </c>
      <c r="AD10" s="86" t="str">
        <f aca="false">IF($C10="","",IF(AND(AD$5&gt;=$C10,AD$5&lt;=$D10),IF(AD$5&lt;$C10+COUNTIFS('SDE Plan'!$F$6:$F$78,$B10,'SDE Plan'!$B$6:$B$78,"Yes",'SDE Plan'!$L$6:$L$78,"Done"),2,1),""))</f>
        <v/>
      </c>
      <c r="AE10" s="86" t="str">
        <f aca="false">IF($C10="","",IF(AND(AE$5&gt;=$C10,AE$5&lt;=$D10),IF(AE$5&lt;$C10+COUNTIFS('SDE Plan'!$F$6:$F$78,$B10,'SDE Plan'!$B$6:$B$78,"Yes",'SDE Plan'!$L$6:$L$78,"Done"),2,1),""))</f>
        <v/>
      </c>
      <c r="AF10" s="86" t="str">
        <f aca="false">IF($C10="","",IF(AND(AF$5&gt;=$C10,AF$5&lt;=$D10),IF(AF$5&lt;$C10+COUNTIFS('SDE Plan'!$F$6:$F$78,$B10,'SDE Plan'!$B$6:$B$78,"Yes",'SDE Plan'!$L$6:$L$78,"Done"),2,1),""))</f>
        <v/>
      </c>
      <c r="AG10" s="86" t="str">
        <f aca="false">IF($C10="","",IF(AND(AG$5&gt;=$C10,AG$5&lt;=$D10),IF(AG$5&lt;$C10+COUNTIFS('SDE Plan'!$F$6:$F$78,$B10,'SDE Plan'!$B$6:$B$78,"Yes",'SDE Plan'!$L$6:$L$78,"Done"),2,1),""))</f>
        <v/>
      </c>
      <c r="AH10" s="86" t="str">
        <f aca="false">IF($C10="","",IF(AND(AH$5&gt;=$C10,AH$5&lt;=$D10),IF(AH$5&lt;$C10+COUNTIFS('SDE Plan'!$F$6:$F$78,$B10,'SDE Plan'!$B$6:$B$78,"Yes",'SDE Plan'!$L$6:$L$78,"Done"),2,1),""))</f>
        <v/>
      </c>
      <c r="AI10" s="86" t="str">
        <f aca="false">IF($C10="","",IF(AND(AI$5&gt;=$C10,AI$5&lt;=$D10),IF(AI$5&lt;$C10+COUNTIFS('SDE Plan'!$F$6:$F$78,$B10,'SDE Plan'!$B$6:$B$78,"Yes",'SDE Plan'!$L$6:$L$78,"Done"),2,1),""))</f>
        <v/>
      </c>
      <c r="AJ10" s="86" t="str">
        <f aca="false">IF($C10="","",IF(AND(AJ$5&gt;=$C10,AJ$5&lt;=$D10),IF(AJ$5&lt;$C10+COUNTIFS('SDE Plan'!$F$6:$F$78,$B10,'SDE Plan'!$B$6:$B$78,"Yes",'SDE Plan'!$L$6:$L$78,"Done"),2,1),""))</f>
        <v/>
      </c>
      <c r="AK10" s="86" t="str">
        <f aca="false">IF($C10="","",IF(AND(AK$5&gt;=$C10,AK$5&lt;=$D10),IF(AK$5&lt;$C10+COUNTIFS('SDE Plan'!$F$6:$F$78,$B10,'SDE Plan'!$B$6:$B$78,"Yes",'SDE Plan'!$L$6:$L$78,"Done"),2,1),""))</f>
        <v/>
      </c>
      <c r="AL10" s="86" t="str">
        <f aca="false">IF($C10="","",IF(AND(AL$5&gt;=$C10,AL$5&lt;=$D10),IF(AL$5&lt;$C10+COUNTIFS('SDE Plan'!$F$6:$F$78,$B10,'SDE Plan'!$B$6:$B$78,"Yes",'SDE Plan'!$L$6:$L$78,"Done"),2,1),""))</f>
        <v/>
      </c>
      <c r="AM10" s="86" t="str">
        <f aca="false">IF($C10="","",IF(AND(AM$5&gt;=$C10,AM$5&lt;=$D10),IF(AM$5&lt;$C10+COUNTIFS('SDE Plan'!$F$6:$F$78,$B10,'SDE Plan'!$B$6:$B$78,"Yes",'SDE Plan'!$L$6:$L$78,"Done"),2,1),""))</f>
        <v/>
      </c>
      <c r="AN10" s="86" t="str">
        <f aca="false">IF($C10="","",IF(AND(AN$5&gt;=$C10,AN$5&lt;=$D10),IF(AN$5&lt;$C10+COUNTIFS('SDE Plan'!$F$6:$F$78,$B10,'SDE Plan'!$B$6:$B$78,"Yes",'SDE Plan'!$L$6:$L$78,"Done"),2,1),""))</f>
        <v/>
      </c>
      <c r="AO10" s="86" t="str">
        <f aca="false">IF($C10="","",IF(AND(AO$5&gt;=$C10,AO$5&lt;=$D10),IF(AO$5&lt;$C10+COUNTIFS('SDE Plan'!$F$6:$F$78,$B10,'SDE Plan'!$B$6:$B$78,"Yes",'SDE Plan'!$L$6:$L$78,"Done"),2,1),""))</f>
        <v/>
      </c>
      <c r="AP10" s="86" t="str">
        <f aca="false">IF($C10="","",IF(AND(AP$5&gt;=$C10,AP$5&lt;=$D10),IF(AP$5&lt;$C10+COUNTIFS('SDE Plan'!$F$6:$F$78,$B10,'SDE Plan'!$B$6:$B$78,"Yes",'SDE Plan'!$L$6:$L$78,"Done"),2,1),""))</f>
        <v/>
      </c>
      <c r="AQ10" s="86" t="str">
        <f aca="false">IF($C10="","",IF(AND(AQ$5&gt;=$C10,AQ$5&lt;=$D10),IF(AQ$5&lt;$C10+COUNTIFS('SDE Plan'!$F$6:$F$78,$B10,'SDE Plan'!$B$6:$B$78,"Yes",'SDE Plan'!$L$6:$L$78,"Done"),2,1),""))</f>
        <v/>
      </c>
    </row>
    <row r="11" customFormat="false" ht="18" hidden="false" customHeight="true" outlineLevel="0" collapsed="false">
      <c r="A11" s="84" t="s">
        <v>19</v>
      </c>
      <c r="B11" s="89" t="s">
        <v>100</v>
      </c>
      <c r="C11" s="84" t="n">
        <f aca="false">IF(COUNTIFS('SDE Plan'!$F$6:$F$78,$B11,'SDE Plan'!$B$6:$B$78,"Yes")=0,"",_xlfn.MINIFS('SDE Plan'!$A$6:$A$78,'SDE Plan'!$F$6:$F$78,$B11,'SDE Plan'!$B$6:$B$78,"Yes"))</f>
        <v>5</v>
      </c>
      <c r="D11" s="84" t="n">
        <f aca="false">IF(COUNTIFS('SDE Plan'!$F$6:$F$78,$B11,'SDE Plan'!$B$6:$B$78,"Yes")=0,"",_xlfn.MAXIFS('SDE Plan'!$A$6:$A$78,'SDE Plan'!$F$6:$F$78,$B11,'SDE Plan'!$B$6:$B$78,"Yes"))</f>
        <v>7</v>
      </c>
      <c r="E11" s="86" t="str">
        <f aca="false">IF($C11="","",IF(AND(E$5&gt;=$C11,E$5&lt;=$D11),IF(E$5&lt;$C11+COUNTIFS('SDE Plan'!$F$6:$F$78,$B11,'SDE Plan'!$B$6:$B$78,"Yes",'SDE Plan'!$L$6:$L$78,"Done"),2,1),""))</f>
        <v/>
      </c>
      <c r="F11" s="86" t="str">
        <f aca="false">IF($C11="","",IF(AND(F$5&gt;=$C11,F$5&lt;=$D11),IF(F$5&lt;$C11+COUNTIFS('SDE Plan'!$F$6:$F$78,$B11,'SDE Plan'!$B$6:$B$78,"Yes",'SDE Plan'!$L$6:$L$78,"Done"),2,1),""))</f>
        <v/>
      </c>
      <c r="G11" s="86" t="str">
        <f aca="false">IF($C11="","",IF(AND(G$5&gt;=$C11,G$5&lt;=$D11),IF(G$5&lt;$C11+COUNTIFS('SDE Plan'!$F$6:$F$78,$B11,'SDE Plan'!$B$6:$B$78,"Yes",'SDE Plan'!$L$6:$L$78,"Done"),2,1),""))</f>
        <v/>
      </c>
      <c r="H11" s="86" t="str">
        <f aca="false">IF($C11="","",IF(AND(H$5&gt;=$C11,H$5&lt;=$D11),IF(H$5&lt;$C11+COUNTIFS('SDE Plan'!$F$6:$F$78,$B11,'SDE Plan'!$B$6:$B$78,"Yes",'SDE Plan'!$L$6:$L$78,"Done"),2,1),""))</f>
        <v/>
      </c>
      <c r="I11" s="86" t="n">
        <f aca="false">IF($C11="","",IF(AND(I$5&gt;=$C11,I$5&lt;=$D11),IF(I$5&lt;$C11+COUNTIFS('SDE Plan'!$F$6:$F$78,$B11,'SDE Plan'!$B$6:$B$78,"Yes",'SDE Plan'!$L$6:$L$78,"Done"),2,1),""))</f>
        <v>1</v>
      </c>
      <c r="J11" s="86" t="n">
        <f aca="false">IF($C11="","",IF(AND(J$5&gt;=$C11,J$5&lt;=$D11),IF(J$5&lt;$C11+COUNTIFS('SDE Plan'!$F$6:$F$78,$B11,'SDE Plan'!$B$6:$B$78,"Yes",'SDE Plan'!$L$6:$L$78,"Done"),2,1),""))</f>
        <v>1</v>
      </c>
      <c r="K11" s="86" t="n">
        <f aca="false">IF($C11="","",IF(AND(K$5&gt;=$C11,K$5&lt;=$D11),IF(K$5&lt;$C11+COUNTIFS('SDE Plan'!$F$6:$F$78,$B11,'SDE Plan'!$B$6:$B$78,"Yes",'SDE Plan'!$L$6:$L$78,"Done"),2,1),""))</f>
        <v>1</v>
      </c>
      <c r="L11" s="86" t="str">
        <f aca="false">IF($C11="","",IF(AND(L$5&gt;=$C11,L$5&lt;=$D11),IF(L$5&lt;$C11+COUNTIFS('SDE Plan'!$F$6:$F$78,$B11,'SDE Plan'!$B$6:$B$78,"Yes",'SDE Plan'!$L$6:$L$78,"Done"),2,1),""))</f>
        <v/>
      </c>
      <c r="M11" s="86" t="str">
        <f aca="false">IF($C11="","",IF(AND(M$5&gt;=$C11,M$5&lt;=$D11),IF(M$5&lt;$C11+COUNTIFS('SDE Plan'!$F$6:$F$78,$B11,'SDE Plan'!$B$6:$B$78,"Yes",'SDE Plan'!$L$6:$L$78,"Done"),2,1),""))</f>
        <v/>
      </c>
      <c r="N11" s="86" t="str">
        <f aca="false">IF($C11="","",IF(AND(N$5&gt;=$C11,N$5&lt;=$D11),IF(N$5&lt;$C11+COUNTIFS('SDE Plan'!$F$6:$F$78,$B11,'SDE Plan'!$B$6:$B$78,"Yes",'SDE Plan'!$L$6:$L$78,"Done"),2,1),""))</f>
        <v/>
      </c>
      <c r="O11" s="86" t="str">
        <f aca="false">IF($C11="","",IF(AND(O$5&gt;=$C11,O$5&lt;=$D11),IF(O$5&lt;$C11+COUNTIFS('SDE Plan'!$F$6:$F$78,$B11,'SDE Plan'!$B$6:$B$78,"Yes",'SDE Plan'!$L$6:$L$78,"Done"),2,1),""))</f>
        <v/>
      </c>
      <c r="P11" s="86" t="str">
        <f aca="false">IF($C11="","",IF(AND(P$5&gt;=$C11,P$5&lt;=$D11),IF(P$5&lt;$C11+COUNTIFS('SDE Plan'!$F$6:$F$78,$B11,'SDE Plan'!$B$6:$B$78,"Yes",'SDE Plan'!$L$6:$L$78,"Done"),2,1),""))</f>
        <v/>
      </c>
      <c r="Q11" s="86" t="str">
        <f aca="false">IF($C11="","",IF(AND(Q$5&gt;=$C11,Q$5&lt;=$D11),IF(Q$5&lt;$C11+COUNTIFS('SDE Plan'!$F$6:$F$78,$B11,'SDE Plan'!$B$6:$B$78,"Yes",'SDE Plan'!$L$6:$L$78,"Done"),2,1),""))</f>
        <v/>
      </c>
      <c r="R11" s="86" t="str">
        <f aca="false">IF($C11="","",IF(AND(R$5&gt;=$C11,R$5&lt;=$D11),IF(R$5&lt;$C11+COUNTIFS('SDE Plan'!$F$6:$F$78,$B11,'SDE Plan'!$B$6:$B$78,"Yes",'SDE Plan'!$L$6:$L$78,"Done"),2,1),""))</f>
        <v/>
      </c>
      <c r="S11" s="86" t="str">
        <f aca="false">IF($C11="","",IF(AND(S$5&gt;=$C11,S$5&lt;=$D11),IF(S$5&lt;$C11+COUNTIFS('SDE Plan'!$F$6:$F$78,$B11,'SDE Plan'!$B$6:$B$78,"Yes",'SDE Plan'!$L$6:$L$78,"Done"),2,1),""))</f>
        <v/>
      </c>
      <c r="T11" s="86" t="str">
        <f aca="false">IF($C11="","",IF(AND(T$5&gt;=$C11,T$5&lt;=$D11),IF(T$5&lt;$C11+COUNTIFS('SDE Plan'!$F$6:$F$78,$B11,'SDE Plan'!$B$6:$B$78,"Yes",'SDE Plan'!$L$6:$L$78,"Done"),2,1),""))</f>
        <v/>
      </c>
      <c r="U11" s="86" t="str">
        <f aca="false">IF($C11="","",IF(AND(U$5&gt;=$C11,U$5&lt;=$D11),IF(U$5&lt;$C11+COUNTIFS('SDE Plan'!$F$6:$F$78,$B11,'SDE Plan'!$B$6:$B$78,"Yes",'SDE Plan'!$L$6:$L$78,"Done"),2,1),""))</f>
        <v/>
      </c>
      <c r="V11" s="86" t="str">
        <f aca="false">IF($C11="","",IF(AND(V$5&gt;=$C11,V$5&lt;=$D11),IF(V$5&lt;$C11+COUNTIFS('SDE Plan'!$F$6:$F$78,$B11,'SDE Plan'!$B$6:$B$78,"Yes",'SDE Plan'!$L$6:$L$78,"Done"),2,1),""))</f>
        <v/>
      </c>
      <c r="W11" s="86" t="str">
        <f aca="false">IF($C11="","",IF(AND(W$5&gt;=$C11,W$5&lt;=$D11),IF(W$5&lt;$C11+COUNTIFS('SDE Plan'!$F$6:$F$78,$B11,'SDE Plan'!$B$6:$B$78,"Yes",'SDE Plan'!$L$6:$L$78,"Done"),2,1),""))</f>
        <v/>
      </c>
      <c r="X11" s="86" t="str">
        <f aca="false">IF($C11="","",IF(AND(X$5&gt;=$C11,X$5&lt;=$D11),IF(X$5&lt;$C11+COUNTIFS('SDE Plan'!$F$6:$F$78,$B11,'SDE Plan'!$B$6:$B$78,"Yes",'SDE Plan'!$L$6:$L$78,"Done"),2,1),""))</f>
        <v/>
      </c>
      <c r="Y11" s="86" t="str">
        <f aca="false">IF($C11="","",IF(AND(Y$5&gt;=$C11,Y$5&lt;=$D11),IF(Y$5&lt;$C11+COUNTIFS('SDE Plan'!$F$6:$F$78,$B11,'SDE Plan'!$B$6:$B$78,"Yes",'SDE Plan'!$L$6:$L$78,"Done"),2,1),""))</f>
        <v/>
      </c>
      <c r="Z11" s="86" t="str">
        <f aca="false">IF($C11="","",IF(AND(Z$5&gt;=$C11,Z$5&lt;=$D11),IF(Z$5&lt;$C11+COUNTIFS('SDE Plan'!$F$6:$F$78,$B11,'SDE Plan'!$B$6:$B$78,"Yes",'SDE Plan'!$L$6:$L$78,"Done"),2,1),""))</f>
        <v/>
      </c>
      <c r="AA11" s="86" t="str">
        <f aca="false">IF($C11="","",IF(AND(AA$5&gt;=$C11,AA$5&lt;=$D11),IF(AA$5&lt;$C11+COUNTIFS('SDE Plan'!$F$6:$F$78,$B11,'SDE Plan'!$B$6:$B$78,"Yes",'SDE Plan'!$L$6:$L$78,"Done"),2,1),""))</f>
        <v/>
      </c>
      <c r="AB11" s="86" t="str">
        <f aca="false">IF($C11="","",IF(AND(AB$5&gt;=$C11,AB$5&lt;=$D11),IF(AB$5&lt;$C11+COUNTIFS('SDE Plan'!$F$6:$F$78,$B11,'SDE Plan'!$B$6:$B$78,"Yes",'SDE Plan'!$L$6:$L$78,"Done"),2,1),""))</f>
        <v/>
      </c>
      <c r="AC11" s="86" t="str">
        <f aca="false">IF($C11="","",IF(AND(AC$5&gt;=$C11,AC$5&lt;=$D11),IF(AC$5&lt;$C11+COUNTIFS('SDE Plan'!$F$6:$F$78,$B11,'SDE Plan'!$B$6:$B$78,"Yes",'SDE Plan'!$L$6:$L$78,"Done"),2,1),""))</f>
        <v/>
      </c>
      <c r="AD11" s="86" t="str">
        <f aca="false">IF($C11="","",IF(AND(AD$5&gt;=$C11,AD$5&lt;=$D11),IF(AD$5&lt;$C11+COUNTIFS('SDE Plan'!$F$6:$F$78,$B11,'SDE Plan'!$B$6:$B$78,"Yes",'SDE Plan'!$L$6:$L$78,"Done"),2,1),""))</f>
        <v/>
      </c>
      <c r="AE11" s="86" t="str">
        <f aca="false">IF($C11="","",IF(AND(AE$5&gt;=$C11,AE$5&lt;=$D11),IF(AE$5&lt;$C11+COUNTIFS('SDE Plan'!$F$6:$F$78,$B11,'SDE Plan'!$B$6:$B$78,"Yes",'SDE Plan'!$L$6:$L$78,"Done"),2,1),""))</f>
        <v/>
      </c>
      <c r="AF11" s="86" t="str">
        <f aca="false">IF($C11="","",IF(AND(AF$5&gt;=$C11,AF$5&lt;=$D11),IF(AF$5&lt;$C11+COUNTIFS('SDE Plan'!$F$6:$F$78,$B11,'SDE Plan'!$B$6:$B$78,"Yes",'SDE Plan'!$L$6:$L$78,"Done"),2,1),""))</f>
        <v/>
      </c>
      <c r="AG11" s="86" t="str">
        <f aca="false">IF($C11="","",IF(AND(AG$5&gt;=$C11,AG$5&lt;=$D11),IF(AG$5&lt;$C11+COUNTIFS('SDE Plan'!$F$6:$F$78,$B11,'SDE Plan'!$B$6:$B$78,"Yes",'SDE Plan'!$L$6:$L$78,"Done"),2,1),""))</f>
        <v/>
      </c>
      <c r="AH11" s="86" t="str">
        <f aca="false">IF($C11="","",IF(AND(AH$5&gt;=$C11,AH$5&lt;=$D11),IF(AH$5&lt;$C11+COUNTIFS('SDE Plan'!$F$6:$F$78,$B11,'SDE Plan'!$B$6:$B$78,"Yes",'SDE Plan'!$L$6:$L$78,"Done"),2,1),""))</f>
        <v/>
      </c>
      <c r="AI11" s="86" t="str">
        <f aca="false">IF($C11="","",IF(AND(AI$5&gt;=$C11,AI$5&lt;=$D11),IF(AI$5&lt;$C11+COUNTIFS('SDE Plan'!$F$6:$F$78,$B11,'SDE Plan'!$B$6:$B$78,"Yes",'SDE Plan'!$L$6:$L$78,"Done"),2,1),""))</f>
        <v/>
      </c>
      <c r="AJ11" s="86" t="str">
        <f aca="false">IF($C11="","",IF(AND(AJ$5&gt;=$C11,AJ$5&lt;=$D11),IF(AJ$5&lt;$C11+COUNTIFS('SDE Plan'!$F$6:$F$78,$B11,'SDE Plan'!$B$6:$B$78,"Yes",'SDE Plan'!$L$6:$L$78,"Done"),2,1),""))</f>
        <v/>
      </c>
      <c r="AK11" s="86" t="str">
        <f aca="false">IF($C11="","",IF(AND(AK$5&gt;=$C11,AK$5&lt;=$D11),IF(AK$5&lt;$C11+COUNTIFS('SDE Plan'!$F$6:$F$78,$B11,'SDE Plan'!$B$6:$B$78,"Yes",'SDE Plan'!$L$6:$L$78,"Done"),2,1),""))</f>
        <v/>
      </c>
      <c r="AL11" s="86" t="str">
        <f aca="false">IF($C11="","",IF(AND(AL$5&gt;=$C11,AL$5&lt;=$D11),IF(AL$5&lt;$C11+COUNTIFS('SDE Plan'!$F$6:$F$78,$B11,'SDE Plan'!$B$6:$B$78,"Yes",'SDE Plan'!$L$6:$L$78,"Done"),2,1),""))</f>
        <v/>
      </c>
      <c r="AM11" s="86" t="str">
        <f aca="false">IF($C11="","",IF(AND(AM$5&gt;=$C11,AM$5&lt;=$D11),IF(AM$5&lt;$C11+COUNTIFS('SDE Plan'!$F$6:$F$78,$B11,'SDE Plan'!$B$6:$B$78,"Yes",'SDE Plan'!$L$6:$L$78,"Done"),2,1),""))</f>
        <v/>
      </c>
      <c r="AN11" s="86" t="str">
        <f aca="false">IF($C11="","",IF(AND(AN$5&gt;=$C11,AN$5&lt;=$D11),IF(AN$5&lt;$C11+COUNTIFS('SDE Plan'!$F$6:$F$78,$B11,'SDE Plan'!$B$6:$B$78,"Yes",'SDE Plan'!$L$6:$L$78,"Done"),2,1),""))</f>
        <v/>
      </c>
      <c r="AO11" s="86" t="str">
        <f aca="false">IF($C11="","",IF(AND(AO$5&gt;=$C11,AO$5&lt;=$D11),IF(AO$5&lt;$C11+COUNTIFS('SDE Plan'!$F$6:$F$78,$B11,'SDE Plan'!$B$6:$B$78,"Yes",'SDE Plan'!$L$6:$L$78,"Done"),2,1),""))</f>
        <v/>
      </c>
      <c r="AP11" s="86" t="str">
        <f aca="false">IF($C11="","",IF(AND(AP$5&gt;=$C11,AP$5&lt;=$D11),IF(AP$5&lt;$C11+COUNTIFS('SDE Plan'!$F$6:$F$78,$B11,'SDE Plan'!$B$6:$B$78,"Yes",'SDE Plan'!$L$6:$L$78,"Done"),2,1),""))</f>
        <v/>
      </c>
      <c r="AQ11" s="86" t="str">
        <f aca="false">IF($C11="","",IF(AND(AQ$5&gt;=$C11,AQ$5&lt;=$D11),IF(AQ$5&lt;$C11+COUNTIFS('SDE Plan'!$F$6:$F$78,$B11,'SDE Plan'!$B$6:$B$78,"Yes",'SDE Plan'!$L$6:$L$78,"Done"),2,1),""))</f>
        <v/>
      </c>
    </row>
    <row r="12" customFormat="false" ht="18" hidden="false" customHeight="true" outlineLevel="0" collapsed="false">
      <c r="A12" s="84" t="s">
        <v>19</v>
      </c>
      <c r="B12" s="89" t="s">
        <v>101</v>
      </c>
      <c r="C12" s="84" t="n">
        <f aca="false">IF(COUNTIFS('SDE Plan'!$F$6:$F$78,$B12,'SDE Plan'!$B$6:$B$78,"Yes")=0,"",_xlfn.MINIFS('SDE Plan'!$A$6:$A$78,'SDE Plan'!$F$6:$F$78,$B12,'SDE Plan'!$B$6:$B$78,"Yes"))</f>
        <v>8</v>
      </c>
      <c r="D12" s="84" t="n">
        <f aca="false">IF(COUNTIFS('SDE Plan'!$F$6:$F$78,$B12,'SDE Plan'!$B$6:$B$78,"Yes")=0,"",_xlfn.MAXIFS('SDE Plan'!$A$6:$A$78,'SDE Plan'!$F$6:$F$78,$B12,'SDE Plan'!$B$6:$B$78,"Yes"))</f>
        <v>10</v>
      </c>
      <c r="E12" s="86" t="str">
        <f aca="false">IF($C12="","",IF(AND(E$5&gt;=$C12,E$5&lt;=$D12),IF(E$5&lt;$C12+COUNTIFS('SDE Plan'!$F$6:$F$78,$B12,'SDE Plan'!$B$6:$B$78,"Yes",'SDE Plan'!$L$6:$L$78,"Done"),2,1),""))</f>
        <v/>
      </c>
      <c r="F12" s="86" t="str">
        <f aca="false">IF($C12="","",IF(AND(F$5&gt;=$C12,F$5&lt;=$D12),IF(F$5&lt;$C12+COUNTIFS('SDE Plan'!$F$6:$F$78,$B12,'SDE Plan'!$B$6:$B$78,"Yes",'SDE Plan'!$L$6:$L$78,"Done"),2,1),""))</f>
        <v/>
      </c>
      <c r="G12" s="86" t="str">
        <f aca="false">IF($C12="","",IF(AND(G$5&gt;=$C12,G$5&lt;=$D12),IF(G$5&lt;$C12+COUNTIFS('SDE Plan'!$F$6:$F$78,$B12,'SDE Plan'!$B$6:$B$78,"Yes",'SDE Plan'!$L$6:$L$78,"Done"),2,1),""))</f>
        <v/>
      </c>
      <c r="H12" s="86" t="str">
        <f aca="false">IF($C12="","",IF(AND(H$5&gt;=$C12,H$5&lt;=$D12),IF(H$5&lt;$C12+COUNTIFS('SDE Plan'!$F$6:$F$78,$B12,'SDE Plan'!$B$6:$B$78,"Yes",'SDE Plan'!$L$6:$L$78,"Done"),2,1),""))</f>
        <v/>
      </c>
      <c r="I12" s="86" t="str">
        <f aca="false">IF($C12="","",IF(AND(I$5&gt;=$C12,I$5&lt;=$D12),IF(I$5&lt;$C12+COUNTIFS('SDE Plan'!$F$6:$F$78,$B12,'SDE Plan'!$B$6:$B$78,"Yes",'SDE Plan'!$L$6:$L$78,"Done"),2,1),""))</f>
        <v/>
      </c>
      <c r="J12" s="86" t="str">
        <f aca="false">IF($C12="","",IF(AND(J$5&gt;=$C12,J$5&lt;=$D12),IF(J$5&lt;$C12+COUNTIFS('SDE Plan'!$F$6:$F$78,$B12,'SDE Plan'!$B$6:$B$78,"Yes",'SDE Plan'!$L$6:$L$78,"Done"),2,1),""))</f>
        <v/>
      </c>
      <c r="K12" s="86" t="str">
        <f aca="false">IF($C12="","",IF(AND(K$5&gt;=$C12,K$5&lt;=$D12),IF(K$5&lt;$C12+COUNTIFS('SDE Plan'!$F$6:$F$78,$B12,'SDE Plan'!$B$6:$B$78,"Yes",'SDE Plan'!$L$6:$L$78,"Done"),2,1),""))</f>
        <v/>
      </c>
      <c r="L12" s="86" t="n">
        <f aca="false">IF($C12="","",IF(AND(L$5&gt;=$C12,L$5&lt;=$D12),IF(L$5&lt;$C12+COUNTIFS('SDE Plan'!$F$6:$F$78,$B12,'SDE Plan'!$B$6:$B$78,"Yes",'SDE Plan'!$L$6:$L$78,"Done"),2,1),""))</f>
        <v>1</v>
      </c>
      <c r="M12" s="86" t="n">
        <f aca="false">IF($C12="","",IF(AND(M$5&gt;=$C12,M$5&lt;=$D12),IF(M$5&lt;$C12+COUNTIFS('SDE Plan'!$F$6:$F$78,$B12,'SDE Plan'!$B$6:$B$78,"Yes",'SDE Plan'!$L$6:$L$78,"Done"),2,1),""))</f>
        <v>1</v>
      </c>
      <c r="N12" s="86" t="n">
        <f aca="false">IF($C12="","",IF(AND(N$5&gt;=$C12,N$5&lt;=$D12),IF(N$5&lt;$C12+COUNTIFS('SDE Plan'!$F$6:$F$78,$B12,'SDE Plan'!$B$6:$B$78,"Yes",'SDE Plan'!$L$6:$L$78,"Done"),2,1),""))</f>
        <v>1</v>
      </c>
      <c r="O12" s="86" t="str">
        <f aca="false">IF($C12="","",IF(AND(O$5&gt;=$C12,O$5&lt;=$D12),IF(O$5&lt;$C12+COUNTIFS('SDE Plan'!$F$6:$F$78,$B12,'SDE Plan'!$B$6:$B$78,"Yes",'SDE Plan'!$L$6:$L$78,"Done"),2,1),""))</f>
        <v/>
      </c>
      <c r="P12" s="86" t="str">
        <f aca="false">IF($C12="","",IF(AND(P$5&gt;=$C12,P$5&lt;=$D12),IF(P$5&lt;$C12+COUNTIFS('SDE Plan'!$F$6:$F$78,$B12,'SDE Plan'!$B$6:$B$78,"Yes",'SDE Plan'!$L$6:$L$78,"Done"),2,1),""))</f>
        <v/>
      </c>
      <c r="Q12" s="86" t="str">
        <f aca="false">IF($C12="","",IF(AND(Q$5&gt;=$C12,Q$5&lt;=$D12),IF(Q$5&lt;$C12+COUNTIFS('SDE Plan'!$F$6:$F$78,$B12,'SDE Plan'!$B$6:$B$78,"Yes",'SDE Plan'!$L$6:$L$78,"Done"),2,1),""))</f>
        <v/>
      </c>
      <c r="R12" s="86" t="str">
        <f aca="false">IF($C12="","",IF(AND(R$5&gt;=$C12,R$5&lt;=$D12),IF(R$5&lt;$C12+COUNTIFS('SDE Plan'!$F$6:$F$78,$B12,'SDE Plan'!$B$6:$B$78,"Yes",'SDE Plan'!$L$6:$L$78,"Done"),2,1),""))</f>
        <v/>
      </c>
      <c r="S12" s="86" t="str">
        <f aca="false">IF($C12="","",IF(AND(S$5&gt;=$C12,S$5&lt;=$D12),IF(S$5&lt;$C12+COUNTIFS('SDE Plan'!$F$6:$F$78,$B12,'SDE Plan'!$B$6:$B$78,"Yes",'SDE Plan'!$L$6:$L$78,"Done"),2,1),""))</f>
        <v/>
      </c>
      <c r="T12" s="86" t="str">
        <f aca="false">IF($C12="","",IF(AND(T$5&gt;=$C12,T$5&lt;=$D12),IF(T$5&lt;$C12+COUNTIFS('SDE Plan'!$F$6:$F$78,$B12,'SDE Plan'!$B$6:$B$78,"Yes",'SDE Plan'!$L$6:$L$78,"Done"),2,1),""))</f>
        <v/>
      </c>
      <c r="U12" s="86" t="str">
        <f aca="false">IF($C12="","",IF(AND(U$5&gt;=$C12,U$5&lt;=$D12),IF(U$5&lt;$C12+COUNTIFS('SDE Plan'!$F$6:$F$78,$B12,'SDE Plan'!$B$6:$B$78,"Yes",'SDE Plan'!$L$6:$L$78,"Done"),2,1),""))</f>
        <v/>
      </c>
      <c r="V12" s="86" t="str">
        <f aca="false">IF($C12="","",IF(AND(V$5&gt;=$C12,V$5&lt;=$D12),IF(V$5&lt;$C12+COUNTIFS('SDE Plan'!$F$6:$F$78,$B12,'SDE Plan'!$B$6:$B$78,"Yes",'SDE Plan'!$L$6:$L$78,"Done"),2,1),""))</f>
        <v/>
      </c>
      <c r="W12" s="86" t="str">
        <f aca="false">IF($C12="","",IF(AND(W$5&gt;=$C12,W$5&lt;=$D12),IF(W$5&lt;$C12+COUNTIFS('SDE Plan'!$F$6:$F$78,$B12,'SDE Plan'!$B$6:$B$78,"Yes",'SDE Plan'!$L$6:$L$78,"Done"),2,1),""))</f>
        <v/>
      </c>
      <c r="X12" s="86" t="str">
        <f aca="false">IF($C12="","",IF(AND(X$5&gt;=$C12,X$5&lt;=$D12),IF(X$5&lt;$C12+COUNTIFS('SDE Plan'!$F$6:$F$78,$B12,'SDE Plan'!$B$6:$B$78,"Yes",'SDE Plan'!$L$6:$L$78,"Done"),2,1),""))</f>
        <v/>
      </c>
      <c r="Y12" s="86" t="str">
        <f aca="false">IF($C12="","",IF(AND(Y$5&gt;=$C12,Y$5&lt;=$D12),IF(Y$5&lt;$C12+COUNTIFS('SDE Plan'!$F$6:$F$78,$B12,'SDE Plan'!$B$6:$B$78,"Yes",'SDE Plan'!$L$6:$L$78,"Done"),2,1),""))</f>
        <v/>
      </c>
      <c r="Z12" s="86" t="str">
        <f aca="false">IF($C12="","",IF(AND(Z$5&gt;=$C12,Z$5&lt;=$D12),IF(Z$5&lt;$C12+COUNTIFS('SDE Plan'!$F$6:$F$78,$B12,'SDE Plan'!$B$6:$B$78,"Yes",'SDE Plan'!$L$6:$L$78,"Done"),2,1),""))</f>
        <v/>
      </c>
      <c r="AA12" s="86" t="str">
        <f aca="false">IF($C12="","",IF(AND(AA$5&gt;=$C12,AA$5&lt;=$D12),IF(AA$5&lt;$C12+COUNTIFS('SDE Plan'!$F$6:$F$78,$B12,'SDE Plan'!$B$6:$B$78,"Yes",'SDE Plan'!$L$6:$L$78,"Done"),2,1),""))</f>
        <v/>
      </c>
      <c r="AB12" s="86" t="str">
        <f aca="false">IF($C12="","",IF(AND(AB$5&gt;=$C12,AB$5&lt;=$D12),IF(AB$5&lt;$C12+COUNTIFS('SDE Plan'!$F$6:$F$78,$B12,'SDE Plan'!$B$6:$B$78,"Yes",'SDE Plan'!$L$6:$L$78,"Done"),2,1),""))</f>
        <v/>
      </c>
      <c r="AC12" s="86" t="str">
        <f aca="false">IF($C12="","",IF(AND(AC$5&gt;=$C12,AC$5&lt;=$D12),IF(AC$5&lt;$C12+COUNTIFS('SDE Plan'!$F$6:$F$78,$B12,'SDE Plan'!$B$6:$B$78,"Yes",'SDE Plan'!$L$6:$L$78,"Done"),2,1),""))</f>
        <v/>
      </c>
      <c r="AD12" s="86" t="str">
        <f aca="false">IF($C12="","",IF(AND(AD$5&gt;=$C12,AD$5&lt;=$D12),IF(AD$5&lt;$C12+COUNTIFS('SDE Plan'!$F$6:$F$78,$B12,'SDE Plan'!$B$6:$B$78,"Yes",'SDE Plan'!$L$6:$L$78,"Done"),2,1),""))</f>
        <v/>
      </c>
      <c r="AE12" s="86" t="str">
        <f aca="false">IF($C12="","",IF(AND(AE$5&gt;=$C12,AE$5&lt;=$D12),IF(AE$5&lt;$C12+COUNTIFS('SDE Plan'!$F$6:$F$78,$B12,'SDE Plan'!$B$6:$B$78,"Yes",'SDE Plan'!$L$6:$L$78,"Done"),2,1),""))</f>
        <v/>
      </c>
      <c r="AF12" s="86" t="str">
        <f aca="false">IF($C12="","",IF(AND(AF$5&gt;=$C12,AF$5&lt;=$D12),IF(AF$5&lt;$C12+COUNTIFS('SDE Plan'!$F$6:$F$78,$B12,'SDE Plan'!$B$6:$B$78,"Yes",'SDE Plan'!$L$6:$L$78,"Done"),2,1),""))</f>
        <v/>
      </c>
      <c r="AG12" s="86" t="str">
        <f aca="false">IF($C12="","",IF(AND(AG$5&gt;=$C12,AG$5&lt;=$D12),IF(AG$5&lt;$C12+COUNTIFS('SDE Plan'!$F$6:$F$78,$B12,'SDE Plan'!$B$6:$B$78,"Yes",'SDE Plan'!$L$6:$L$78,"Done"),2,1),""))</f>
        <v/>
      </c>
      <c r="AH12" s="86" t="str">
        <f aca="false">IF($C12="","",IF(AND(AH$5&gt;=$C12,AH$5&lt;=$D12),IF(AH$5&lt;$C12+COUNTIFS('SDE Plan'!$F$6:$F$78,$B12,'SDE Plan'!$B$6:$B$78,"Yes",'SDE Plan'!$L$6:$L$78,"Done"),2,1),""))</f>
        <v/>
      </c>
      <c r="AI12" s="86" t="str">
        <f aca="false">IF($C12="","",IF(AND(AI$5&gt;=$C12,AI$5&lt;=$D12),IF(AI$5&lt;$C12+COUNTIFS('SDE Plan'!$F$6:$F$78,$B12,'SDE Plan'!$B$6:$B$78,"Yes",'SDE Plan'!$L$6:$L$78,"Done"),2,1),""))</f>
        <v/>
      </c>
      <c r="AJ12" s="86" t="str">
        <f aca="false">IF($C12="","",IF(AND(AJ$5&gt;=$C12,AJ$5&lt;=$D12),IF(AJ$5&lt;$C12+COUNTIFS('SDE Plan'!$F$6:$F$78,$B12,'SDE Plan'!$B$6:$B$78,"Yes",'SDE Plan'!$L$6:$L$78,"Done"),2,1),""))</f>
        <v/>
      </c>
      <c r="AK12" s="86" t="str">
        <f aca="false">IF($C12="","",IF(AND(AK$5&gt;=$C12,AK$5&lt;=$D12),IF(AK$5&lt;$C12+COUNTIFS('SDE Plan'!$F$6:$F$78,$B12,'SDE Plan'!$B$6:$B$78,"Yes",'SDE Plan'!$L$6:$L$78,"Done"),2,1),""))</f>
        <v/>
      </c>
      <c r="AL12" s="86" t="str">
        <f aca="false">IF($C12="","",IF(AND(AL$5&gt;=$C12,AL$5&lt;=$D12),IF(AL$5&lt;$C12+COUNTIFS('SDE Plan'!$F$6:$F$78,$B12,'SDE Plan'!$B$6:$B$78,"Yes",'SDE Plan'!$L$6:$L$78,"Done"),2,1),""))</f>
        <v/>
      </c>
      <c r="AM12" s="86" t="str">
        <f aca="false">IF($C12="","",IF(AND(AM$5&gt;=$C12,AM$5&lt;=$D12),IF(AM$5&lt;$C12+COUNTIFS('SDE Plan'!$F$6:$F$78,$B12,'SDE Plan'!$B$6:$B$78,"Yes",'SDE Plan'!$L$6:$L$78,"Done"),2,1),""))</f>
        <v/>
      </c>
      <c r="AN12" s="86" t="str">
        <f aca="false">IF($C12="","",IF(AND(AN$5&gt;=$C12,AN$5&lt;=$D12),IF(AN$5&lt;$C12+COUNTIFS('SDE Plan'!$F$6:$F$78,$B12,'SDE Plan'!$B$6:$B$78,"Yes",'SDE Plan'!$L$6:$L$78,"Done"),2,1),""))</f>
        <v/>
      </c>
      <c r="AO12" s="86" t="str">
        <f aca="false">IF($C12="","",IF(AND(AO$5&gt;=$C12,AO$5&lt;=$D12),IF(AO$5&lt;$C12+COUNTIFS('SDE Plan'!$F$6:$F$78,$B12,'SDE Plan'!$B$6:$B$78,"Yes",'SDE Plan'!$L$6:$L$78,"Done"),2,1),""))</f>
        <v/>
      </c>
      <c r="AP12" s="86" t="str">
        <f aca="false">IF($C12="","",IF(AND(AP$5&gt;=$C12,AP$5&lt;=$D12),IF(AP$5&lt;$C12+COUNTIFS('SDE Plan'!$F$6:$F$78,$B12,'SDE Plan'!$B$6:$B$78,"Yes",'SDE Plan'!$L$6:$L$78,"Done"),2,1),""))</f>
        <v/>
      </c>
      <c r="AQ12" s="86" t="str">
        <f aca="false">IF($C12="","",IF(AND(AQ$5&gt;=$C12,AQ$5&lt;=$D12),IF(AQ$5&lt;$C12+COUNTIFS('SDE Plan'!$F$6:$F$78,$B12,'SDE Plan'!$B$6:$B$78,"Yes",'SDE Plan'!$L$6:$L$78,"Done"),2,1),""))</f>
        <v/>
      </c>
    </row>
    <row r="13" customFormat="false" ht="18" hidden="false" customHeight="true" outlineLevel="0" collapsed="false">
      <c r="A13" s="84" t="s">
        <v>19</v>
      </c>
      <c r="B13" s="89" t="s">
        <v>102</v>
      </c>
      <c r="C13" s="84" t="n">
        <f aca="false">IF(COUNTIFS('SDE Plan'!$F$6:$F$78,$B13,'SDE Plan'!$B$6:$B$78,"Yes")=0,"",_xlfn.MINIFS('SDE Plan'!$A$6:$A$78,'SDE Plan'!$F$6:$F$78,$B13,'SDE Plan'!$B$6:$B$78,"Yes"))</f>
        <v>11</v>
      </c>
      <c r="D13" s="84" t="n">
        <f aca="false">IF(COUNTIFS('SDE Plan'!$F$6:$F$78,$B13,'SDE Plan'!$B$6:$B$78,"Yes")=0,"",_xlfn.MAXIFS('SDE Plan'!$A$6:$A$78,'SDE Plan'!$F$6:$F$78,$B13,'SDE Plan'!$B$6:$B$78,"Yes"))</f>
        <v>13</v>
      </c>
      <c r="E13" s="86" t="str">
        <f aca="false">IF($C13="","",IF(AND(E$5&gt;=$C13,E$5&lt;=$D13),IF(E$5&lt;$C13+COUNTIFS('SDE Plan'!$F$6:$F$78,$B13,'SDE Plan'!$B$6:$B$78,"Yes",'SDE Plan'!$L$6:$L$78,"Done"),2,1),""))</f>
        <v/>
      </c>
      <c r="F13" s="86" t="str">
        <f aca="false">IF($C13="","",IF(AND(F$5&gt;=$C13,F$5&lt;=$D13),IF(F$5&lt;$C13+COUNTIFS('SDE Plan'!$F$6:$F$78,$B13,'SDE Plan'!$B$6:$B$78,"Yes",'SDE Plan'!$L$6:$L$78,"Done"),2,1),""))</f>
        <v/>
      </c>
      <c r="G13" s="86" t="str">
        <f aca="false">IF($C13="","",IF(AND(G$5&gt;=$C13,G$5&lt;=$D13),IF(G$5&lt;$C13+COUNTIFS('SDE Plan'!$F$6:$F$78,$B13,'SDE Plan'!$B$6:$B$78,"Yes",'SDE Plan'!$L$6:$L$78,"Done"),2,1),""))</f>
        <v/>
      </c>
      <c r="H13" s="86" t="str">
        <f aca="false">IF($C13="","",IF(AND(H$5&gt;=$C13,H$5&lt;=$D13),IF(H$5&lt;$C13+COUNTIFS('SDE Plan'!$F$6:$F$78,$B13,'SDE Plan'!$B$6:$B$78,"Yes",'SDE Plan'!$L$6:$L$78,"Done"),2,1),""))</f>
        <v/>
      </c>
      <c r="I13" s="86" t="str">
        <f aca="false">IF($C13="","",IF(AND(I$5&gt;=$C13,I$5&lt;=$D13),IF(I$5&lt;$C13+COUNTIFS('SDE Plan'!$F$6:$F$78,$B13,'SDE Plan'!$B$6:$B$78,"Yes",'SDE Plan'!$L$6:$L$78,"Done"),2,1),""))</f>
        <v/>
      </c>
      <c r="J13" s="86" t="str">
        <f aca="false">IF($C13="","",IF(AND(J$5&gt;=$C13,J$5&lt;=$D13),IF(J$5&lt;$C13+COUNTIFS('SDE Plan'!$F$6:$F$78,$B13,'SDE Plan'!$B$6:$B$78,"Yes",'SDE Plan'!$L$6:$L$78,"Done"),2,1),""))</f>
        <v/>
      </c>
      <c r="K13" s="86" t="str">
        <f aca="false">IF($C13="","",IF(AND(K$5&gt;=$C13,K$5&lt;=$D13),IF(K$5&lt;$C13+COUNTIFS('SDE Plan'!$F$6:$F$78,$B13,'SDE Plan'!$B$6:$B$78,"Yes",'SDE Plan'!$L$6:$L$78,"Done"),2,1),""))</f>
        <v/>
      </c>
      <c r="L13" s="86" t="str">
        <f aca="false">IF($C13="","",IF(AND(L$5&gt;=$C13,L$5&lt;=$D13),IF(L$5&lt;$C13+COUNTIFS('SDE Plan'!$F$6:$F$78,$B13,'SDE Plan'!$B$6:$B$78,"Yes",'SDE Plan'!$L$6:$L$78,"Done"),2,1),""))</f>
        <v/>
      </c>
      <c r="M13" s="86" t="str">
        <f aca="false">IF($C13="","",IF(AND(M$5&gt;=$C13,M$5&lt;=$D13),IF(M$5&lt;$C13+COUNTIFS('SDE Plan'!$F$6:$F$78,$B13,'SDE Plan'!$B$6:$B$78,"Yes",'SDE Plan'!$L$6:$L$78,"Done"),2,1),""))</f>
        <v/>
      </c>
      <c r="N13" s="86" t="str">
        <f aca="false">IF($C13="","",IF(AND(N$5&gt;=$C13,N$5&lt;=$D13),IF(N$5&lt;$C13+COUNTIFS('SDE Plan'!$F$6:$F$78,$B13,'SDE Plan'!$B$6:$B$78,"Yes",'SDE Plan'!$L$6:$L$78,"Done"),2,1),""))</f>
        <v/>
      </c>
      <c r="O13" s="86" t="n">
        <f aca="false">IF($C13="","",IF(AND(O$5&gt;=$C13,O$5&lt;=$D13),IF(O$5&lt;$C13+COUNTIFS('SDE Plan'!$F$6:$F$78,$B13,'SDE Plan'!$B$6:$B$78,"Yes",'SDE Plan'!$L$6:$L$78,"Done"),2,1),""))</f>
        <v>1</v>
      </c>
      <c r="P13" s="86" t="n">
        <f aca="false">IF($C13="","",IF(AND(P$5&gt;=$C13,P$5&lt;=$D13),IF(P$5&lt;$C13+COUNTIFS('SDE Plan'!$F$6:$F$78,$B13,'SDE Plan'!$B$6:$B$78,"Yes",'SDE Plan'!$L$6:$L$78,"Done"),2,1),""))</f>
        <v>1</v>
      </c>
      <c r="Q13" s="86" t="n">
        <f aca="false">IF($C13="","",IF(AND(Q$5&gt;=$C13,Q$5&lt;=$D13),IF(Q$5&lt;$C13+COUNTIFS('SDE Plan'!$F$6:$F$78,$B13,'SDE Plan'!$B$6:$B$78,"Yes",'SDE Plan'!$L$6:$L$78,"Done"),2,1),""))</f>
        <v>1</v>
      </c>
      <c r="R13" s="86" t="str">
        <f aca="false">IF($C13="","",IF(AND(R$5&gt;=$C13,R$5&lt;=$D13),IF(R$5&lt;$C13+COUNTIFS('SDE Plan'!$F$6:$F$78,$B13,'SDE Plan'!$B$6:$B$78,"Yes",'SDE Plan'!$L$6:$L$78,"Done"),2,1),""))</f>
        <v/>
      </c>
      <c r="S13" s="86" t="str">
        <f aca="false">IF($C13="","",IF(AND(S$5&gt;=$C13,S$5&lt;=$D13),IF(S$5&lt;$C13+COUNTIFS('SDE Plan'!$F$6:$F$78,$B13,'SDE Plan'!$B$6:$B$78,"Yes",'SDE Plan'!$L$6:$L$78,"Done"),2,1),""))</f>
        <v/>
      </c>
      <c r="T13" s="86" t="str">
        <f aca="false">IF($C13="","",IF(AND(T$5&gt;=$C13,T$5&lt;=$D13),IF(T$5&lt;$C13+COUNTIFS('SDE Plan'!$F$6:$F$78,$B13,'SDE Plan'!$B$6:$B$78,"Yes",'SDE Plan'!$L$6:$L$78,"Done"),2,1),""))</f>
        <v/>
      </c>
      <c r="U13" s="86" t="str">
        <f aca="false">IF($C13="","",IF(AND(U$5&gt;=$C13,U$5&lt;=$D13),IF(U$5&lt;$C13+COUNTIFS('SDE Plan'!$F$6:$F$78,$B13,'SDE Plan'!$B$6:$B$78,"Yes",'SDE Plan'!$L$6:$L$78,"Done"),2,1),""))</f>
        <v/>
      </c>
      <c r="V13" s="86" t="str">
        <f aca="false">IF($C13="","",IF(AND(V$5&gt;=$C13,V$5&lt;=$D13),IF(V$5&lt;$C13+COUNTIFS('SDE Plan'!$F$6:$F$78,$B13,'SDE Plan'!$B$6:$B$78,"Yes",'SDE Plan'!$L$6:$L$78,"Done"),2,1),""))</f>
        <v/>
      </c>
      <c r="W13" s="86" t="str">
        <f aca="false">IF($C13="","",IF(AND(W$5&gt;=$C13,W$5&lt;=$D13),IF(W$5&lt;$C13+COUNTIFS('SDE Plan'!$F$6:$F$78,$B13,'SDE Plan'!$B$6:$B$78,"Yes",'SDE Plan'!$L$6:$L$78,"Done"),2,1),""))</f>
        <v/>
      </c>
      <c r="X13" s="86" t="str">
        <f aca="false">IF($C13="","",IF(AND(X$5&gt;=$C13,X$5&lt;=$D13),IF(X$5&lt;$C13+COUNTIFS('SDE Plan'!$F$6:$F$78,$B13,'SDE Plan'!$B$6:$B$78,"Yes",'SDE Plan'!$L$6:$L$78,"Done"),2,1),""))</f>
        <v/>
      </c>
      <c r="Y13" s="86" t="str">
        <f aca="false">IF($C13="","",IF(AND(Y$5&gt;=$C13,Y$5&lt;=$D13),IF(Y$5&lt;$C13+COUNTIFS('SDE Plan'!$F$6:$F$78,$B13,'SDE Plan'!$B$6:$B$78,"Yes",'SDE Plan'!$L$6:$L$78,"Done"),2,1),""))</f>
        <v/>
      </c>
      <c r="Z13" s="86" t="str">
        <f aca="false">IF($C13="","",IF(AND(Z$5&gt;=$C13,Z$5&lt;=$D13),IF(Z$5&lt;$C13+COUNTIFS('SDE Plan'!$F$6:$F$78,$B13,'SDE Plan'!$B$6:$B$78,"Yes",'SDE Plan'!$L$6:$L$78,"Done"),2,1),""))</f>
        <v/>
      </c>
      <c r="AA13" s="86" t="str">
        <f aca="false">IF($C13="","",IF(AND(AA$5&gt;=$C13,AA$5&lt;=$D13),IF(AA$5&lt;$C13+COUNTIFS('SDE Plan'!$F$6:$F$78,$B13,'SDE Plan'!$B$6:$B$78,"Yes",'SDE Plan'!$L$6:$L$78,"Done"),2,1),""))</f>
        <v/>
      </c>
      <c r="AB13" s="86" t="str">
        <f aca="false">IF($C13="","",IF(AND(AB$5&gt;=$C13,AB$5&lt;=$D13),IF(AB$5&lt;$C13+COUNTIFS('SDE Plan'!$F$6:$F$78,$B13,'SDE Plan'!$B$6:$B$78,"Yes",'SDE Plan'!$L$6:$L$78,"Done"),2,1),""))</f>
        <v/>
      </c>
      <c r="AC13" s="86" t="str">
        <f aca="false">IF($C13="","",IF(AND(AC$5&gt;=$C13,AC$5&lt;=$D13),IF(AC$5&lt;$C13+COUNTIFS('SDE Plan'!$F$6:$F$78,$B13,'SDE Plan'!$B$6:$B$78,"Yes",'SDE Plan'!$L$6:$L$78,"Done"),2,1),""))</f>
        <v/>
      </c>
      <c r="AD13" s="86" t="str">
        <f aca="false">IF($C13="","",IF(AND(AD$5&gt;=$C13,AD$5&lt;=$D13),IF(AD$5&lt;$C13+COUNTIFS('SDE Plan'!$F$6:$F$78,$B13,'SDE Plan'!$B$6:$B$78,"Yes",'SDE Plan'!$L$6:$L$78,"Done"),2,1),""))</f>
        <v/>
      </c>
      <c r="AE13" s="86" t="str">
        <f aca="false">IF($C13="","",IF(AND(AE$5&gt;=$C13,AE$5&lt;=$D13),IF(AE$5&lt;$C13+COUNTIFS('SDE Plan'!$F$6:$F$78,$B13,'SDE Plan'!$B$6:$B$78,"Yes",'SDE Plan'!$L$6:$L$78,"Done"),2,1),""))</f>
        <v/>
      </c>
      <c r="AF13" s="86" t="str">
        <f aca="false">IF($C13="","",IF(AND(AF$5&gt;=$C13,AF$5&lt;=$D13),IF(AF$5&lt;$C13+COUNTIFS('SDE Plan'!$F$6:$F$78,$B13,'SDE Plan'!$B$6:$B$78,"Yes",'SDE Plan'!$L$6:$L$78,"Done"),2,1),""))</f>
        <v/>
      </c>
      <c r="AG13" s="86" t="str">
        <f aca="false">IF($C13="","",IF(AND(AG$5&gt;=$C13,AG$5&lt;=$D13),IF(AG$5&lt;$C13+COUNTIFS('SDE Plan'!$F$6:$F$78,$B13,'SDE Plan'!$B$6:$B$78,"Yes",'SDE Plan'!$L$6:$L$78,"Done"),2,1),""))</f>
        <v/>
      </c>
      <c r="AH13" s="86" t="str">
        <f aca="false">IF($C13="","",IF(AND(AH$5&gt;=$C13,AH$5&lt;=$D13),IF(AH$5&lt;$C13+COUNTIFS('SDE Plan'!$F$6:$F$78,$B13,'SDE Plan'!$B$6:$B$78,"Yes",'SDE Plan'!$L$6:$L$78,"Done"),2,1),""))</f>
        <v/>
      </c>
      <c r="AI13" s="86" t="str">
        <f aca="false">IF($C13="","",IF(AND(AI$5&gt;=$C13,AI$5&lt;=$D13),IF(AI$5&lt;$C13+COUNTIFS('SDE Plan'!$F$6:$F$78,$B13,'SDE Plan'!$B$6:$B$78,"Yes",'SDE Plan'!$L$6:$L$78,"Done"),2,1),""))</f>
        <v/>
      </c>
      <c r="AJ13" s="86" t="str">
        <f aca="false">IF($C13="","",IF(AND(AJ$5&gt;=$C13,AJ$5&lt;=$D13),IF(AJ$5&lt;$C13+COUNTIFS('SDE Plan'!$F$6:$F$78,$B13,'SDE Plan'!$B$6:$B$78,"Yes",'SDE Plan'!$L$6:$L$78,"Done"),2,1),""))</f>
        <v/>
      </c>
      <c r="AK13" s="86" t="str">
        <f aca="false">IF($C13="","",IF(AND(AK$5&gt;=$C13,AK$5&lt;=$D13),IF(AK$5&lt;$C13+COUNTIFS('SDE Plan'!$F$6:$F$78,$B13,'SDE Plan'!$B$6:$B$78,"Yes",'SDE Plan'!$L$6:$L$78,"Done"),2,1),""))</f>
        <v/>
      </c>
      <c r="AL13" s="86" t="str">
        <f aca="false">IF($C13="","",IF(AND(AL$5&gt;=$C13,AL$5&lt;=$D13),IF(AL$5&lt;$C13+COUNTIFS('SDE Plan'!$F$6:$F$78,$B13,'SDE Plan'!$B$6:$B$78,"Yes",'SDE Plan'!$L$6:$L$78,"Done"),2,1),""))</f>
        <v/>
      </c>
      <c r="AM13" s="86" t="str">
        <f aca="false">IF($C13="","",IF(AND(AM$5&gt;=$C13,AM$5&lt;=$D13),IF(AM$5&lt;$C13+COUNTIFS('SDE Plan'!$F$6:$F$78,$B13,'SDE Plan'!$B$6:$B$78,"Yes",'SDE Plan'!$L$6:$L$78,"Done"),2,1),""))</f>
        <v/>
      </c>
      <c r="AN13" s="86" t="str">
        <f aca="false">IF($C13="","",IF(AND(AN$5&gt;=$C13,AN$5&lt;=$D13),IF(AN$5&lt;$C13+COUNTIFS('SDE Plan'!$F$6:$F$78,$B13,'SDE Plan'!$B$6:$B$78,"Yes",'SDE Plan'!$L$6:$L$78,"Done"),2,1),""))</f>
        <v/>
      </c>
      <c r="AO13" s="86" t="str">
        <f aca="false">IF($C13="","",IF(AND(AO$5&gt;=$C13,AO$5&lt;=$D13),IF(AO$5&lt;$C13+COUNTIFS('SDE Plan'!$F$6:$F$78,$B13,'SDE Plan'!$B$6:$B$78,"Yes",'SDE Plan'!$L$6:$L$78,"Done"),2,1),""))</f>
        <v/>
      </c>
      <c r="AP13" s="86" t="str">
        <f aca="false">IF($C13="","",IF(AND(AP$5&gt;=$C13,AP$5&lt;=$D13),IF(AP$5&lt;$C13+COUNTIFS('SDE Plan'!$F$6:$F$78,$B13,'SDE Plan'!$B$6:$B$78,"Yes",'SDE Plan'!$L$6:$L$78,"Done"),2,1),""))</f>
        <v/>
      </c>
      <c r="AQ13" s="86" t="str">
        <f aca="false">IF($C13="","",IF(AND(AQ$5&gt;=$C13,AQ$5&lt;=$D13),IF(AQ$5&lt;$C13+COUNTIFS('SDE Plan'!$F$6:$F$78,$B13,'SDE Plan'!$B$6:$B$78,"Yes",'SDE Plan'!$L$6:$L$78,"Done"),2,1),""))</f>
        <v/>
      </c>
    </row>
    <row r="14" customFormat="false" ht="18" hidden="false" customHeight="true" outlineLevel="0" collapsed="false">
      <c r="A14" s="84" t="s">
        <v>19</v>
      </c>
      <c r="B14" s="89" t="s">
        <v>103</v>
      </c>
      <c r="C14" s="84" t="n">
        <f aca="false">IF(COUNTIFS('SDE Plan'!$F$6:$F$78,$B14,'SDE Plan'!$B$6:$B$78,"Yes")=0,"",_xlfn.MINIFS('SDE Plan'!$A$6:$A$78,'SDE Plan'!$F$6:$F$78,$B14,'SDE Plan'!$B$6:$B$78,"Yes"))</f>
        <v>14</v>
      </c>
      <c r="D14" s="84" t="n">
        <f aca="false">IF(COUNTIFS('SDE Plan'!$F$6:$F$78,$B14,'SDE Plan'!$B$6:$B$78,"Yes")=0,"",_xlfn.MAXIFS('SDE Plan'!$A$6:$A$78,'SDE Plan'!$F$6:$F$78,$B14,'SDE Plan'!$B$6:$B$78,"Yes"))</f>
        <v>17</v>
      </c>
      <c r="E14" s="86" t="str">
        <f aca="false">IF($C14="","",IF(AND(E$5&gt;=$C14,E$5&lt;=$D14),IF(E$5&lt;$C14+COUNTIFS('SDE Plan'!$F$6:$F$78,$B14,'SDE Plan'!$B$6:$B$78,"Yes",'SDE Plan'!$L$6:$L$78,"Done"),2,1),""))</f>
        <v/>
      </c>
      <c r="F14" s="86" t="str">
        <f aca="false">IF($C14="","",IF(AND(F$5&gt;=$C14,F$5&lt;=$D14),IF(F$5&lt;$C14+COUNTIFS('SDE Plan'!$F$6:$F$78,$B14,'SDE Plan'!$B$6:$B$78,"Yes",'SDE Plan'!$L$6:$L$78,"Done"),2,1),""))</f>
        <v/>
      </c>
      <c r="G14" s="86" t="str">
        <f aca="false">IF($C14="","",IF(AND(G$5&gt;=$C14,G$5&lt;=$D14),IF(G$5&lt;$C14+COUNTIFS('SDE Plan'!$F$6:$F$78,$B14,'SDE Plan'!$B$6:$B$78,"Yes",'SDE Plan'!$L$6:$L$78,"Done"),2,1),""))</f>
        <v/>
      </c>
      <c r="H14" s="86" t="str">
        <f aca="false">IF($C14="","",IF(AND(H$5&gt;=$C14,H$5&lt;=$D14),IF(H$5&lt;$C14+COUNTIFS('SDE Plan'!$F$6:$F$78,$B14,'SDE Plan'!$B$6:$B$78,"Yes",'SDE Plan'!$L$6:$L$78,"Done"),2,1),""))</f>
        <v/>
      </c>
      <c r="I14" s="86" t="str">
        <f aca="false">IF($C14="","",IF(AND(I$5&gt;=$C14,I$5&lt;=$D14),IF(I$5&lt;$C14+COUNTIFS('SDE Plan'!$F$6:$F$78,$B14,'SDE Plan'!$B$6:$B$78,"Yes",'SDE Plan'!$L$6:$L$78,"Done"),2,1),""))</f>
        <v/>
      </c>
      <c r="J14" s="86" t="str">
        <f aca="false">IF($C14="","",IF(AND(J$5&gt;=$C14,J$5&lt;=$D14),IF(J$5&lt;$C14+COUNTIFS('SDE Plan'!$F$6:$F$78,$B14,'SDE Plan'!$B$6:$B$78,"Yes",'SDE Plan'!$L$6:$L$78,"Done"),2,1),""))</f>
        <v/>
      </c>
      <c r="K14" s="86" t="str">
        <f aca="false">IF($C14="","",IF(AND(K$5&gt;=$C14,K$5&lt;=$D14),IF(K$5&lt;$C14+COUNTIFS('SDE Plan'!$F$6:$F$78,$B14,'SDE Plan'!$B$6:$B$78,"Yes",'SDE Plan'!$L$6:$L$78,"Done"),2,1),""))</f>
        <v/>
      </c>
      <c r="L14" s="86" t="str">
        <f aca="false">IF($C14="","",IF(AND(L$5&gt;=$C14,L$5&lt;=$D14),IF(L$5&lt;$C14+COUNTIFS('SDE Plan'!$F$6:$F$78,$B14,'SDE Plan'!$B$6:$B$78,"Yes",'SDE Plan'!$L$6:$L$78,"Done"),2,1),""))</f>
        <v/>
      </c>
      <c r="M14" s="86" t="str">
        <f aca="false">IF($C14="","",IF(AND(M$5&gt;=$C14,M$5&lt;=$D14),IF(M$5&lt;$C14+COUNTIFS('SDE Plan'!$F$6:$F$78,$B14,'SDE Plan'!$B$6:$B$78,"Yes",'SDE Plan'!$L$6:$L$78,"Done"),2,1),""))</f>
        <v/>
      </c>
      <c r="N14" s="86" t="str">
        <f aca="false">IF($C14="","",IF(AND(N$5&gt;=$C14,N$5&lt;=$D14),IF(N$5&lt;$C14+COUNTIFS('SDE Plan'!$F$6:$F$78,$B14,'SDE Plan'!$B$6:$B$78,"Yes",'SDE Plan'!$L$6:$L$78,"Done"),2,1),""))</f>
        <v/>
      </c>
      <c r="O14" s="86" t="str">
        <f aca="false">IF($C14="","",IF(AND(O$5&gt;=$C14,O$5&lt;=$D14),IF(O$5&lt;$C14+COUNTIFS('SDE Plan'!$F$6:$F$78,$B14,'SDE Plan'!$B$6:$B$78,"Yes",'SDE Plan'!$L$6:$L$78,"Done"),2,1),""))</f>
        <v/>
      </c>
      <c r="P14" s="86" t="str">
        <f aca="false">IF($C14="","",IF(AND(P$5&gt;=$C14,P$5&lt;=$D14),IF(P$5&lt;$C14+COUNTIFS('SDE Plan'!$F$6:$F$78,$B14,'SDE Plan'!$B$6:$B$78,"Yes",'SDE Plan'!$L$6:$L$78,"Done"),2,1),""))</f>
        <v/>
      </c>
      <c r="Q14" s="86" t="str">
        <f aca="false">IF($C14="","",IF(AND(Q$5&gt;=$C14,Q$5&lt;=$D14),IF(Q$5&lt;$C14+COUNTIFS('SDE Plan'!$F$6:$F$78,$B14,'SDE Plan'!$B$6:$B$78,"Yes",'SDE Plan'!$L$6:$L$78,"Done"),2,1),""))</f>
        <v/>
      </c>
      <c r="R14" s="86" t="n">
        <f aca="false">IF($C14="","",IF(AND(R$5&gt;=$C14,R$5&lt;=$D14),IF(R$5&lt;$C14+COUNTIFS('SDE Plan'!$F$6:$F$78,$B14,'SDE Plan'!$B$6:$B$78,"Yes",'SDE Plan'!$L$6:$L$78,"Done"),2,1),""))</f>
        <v>1</v>
      </c>
      <c r="S14" s="86" t="n">
        <f aca="false">IF($C14="","",IF(AND(S$5&gt;=$C14,S$5&lt;=$D14),IF(S$5&lt;$C14+COUNTIFS('SDE Plan'!$F$6:$F$78,$B14,'SDE Plan'!$B$6:$B$78,"Yes",'SDE Plan'!$L$6:$L$78,"Done"),2,1),""))</f>
        <v>1</v>
      </c>
      <c r="T14" s="86" t="n">
        <f aca="false">IF($C14="","",IF(AND(T$5&gt;=$C14,T$5&lt;=$D14),IF(T$5&lt;$C14+COUNTIFS('SDE Plan'!$F$6:$F$78,$B14,'SDE Plan'!$B$6:$B$78,"Yes",'SDE Plan'!$L$6:$L$78,"Done"),2,1),""))</f>
        <v>1</v>
      </c>
      <c r="U14" s="86" t="n">
        <f aca="false">IF($C14="","",IF(AND(U$5&gt;=$C14,U$5&lt;=$D14),IF(U$5&lt;$C14+COUNTIFS('SDE Plan'!$F$6:$F$78,$B14,'SDE Plan'!$B$6:$B$78,"Yes",'SDE Plan'!$L$6:$L$78,"Done"),2,1),""))</f>
        <v>1</v>
      </c>
      <c r="V14" s="86" t="str">
        <f aca="false">IF($C14="","",IF(AND(V$5&gt;=$C14,V$5&lt;=$D14),IF(V$5&lt;$C14+COUNTIFS('SDE Plan'!$F$6:$F$78,$B14,'SDE Plan'!$B$6:$B$78,"Yes",'SDE Plan'!$L$6:$L$78,"Done"),2,1),""))</f>
        <v/>
      </c>
      <c r="W14" s="86" t="str">
        <f aca="false">IF($C14="","",IF(AND(W$5&gt;=$C14,W$5&lt;=$D14),IF(W$5&lt;$C14+COUNTIFS('SDE Plan'!$F$6:$F$78,$B14,'SDE Plan'!$B$6:$B$78,"Yes",'SDE Plan'!$L$6:$L$78,"Done"),2,1),""))</f>
        <v/>
      </c>
      <c r="X14" s="86" t="str">
        <f aca="false">IF($C14="","",IF(AND(X$5&gt;=$C14,X$5&lt;=$D14),IF(X$5&lt;$C14+COUNTIFS('SDE Plan'!$F$6:$F$78,$B14,'SDE Plan'!$B$6:$B$78,"Yes",'SDE Plan'!$L$6:$L$78,"Done"),2,1),""))</f>
        <v/>
      </c>
      <c r="Y14" s="86" t="str">
        <f aca="false">IF($C14="","",IF(AND(Y$5&gt;=$C14,Y$5&lt;=$D14),IF(Y$5&lt;$C14+COUNTIFS('SDE Plan'!$F$6:$F$78,$B14,'SDE Plan'!$B$6:$B$78,"Yes",'SDE Plan'!$L$6:$L$78,"Done"),2,1),""))</f>
        <v/>
      </c>
      <c r="Z14" s="86" t="str">
        <f aca="false">IF($C14="","",IF(AND(Z$5&gt;=$C14,Z$5&lt;=$D14),IF(Z$5&lt;$C14+COUNTIFS('SDE Plan'!$F$6:$F$78,$B14,'SDE Plan'!$B$6:$B$78,"Yes",'SDE Plan'!$L$6:$L$78,"Done"),2,1),""))</f>
        <v/>
      </c>
      <c r="AA14" s="86" t="str">
        <f aca="false">IF($C14="","",IF(AND(AA$5&gt;=$C14,AA$5&lt;=$D14),IF(AA$5&lt;$C14+COUNTIFS('SDE Plan'!$F$6:$F$78,$B14,'SDE Plan'!$B$6:$B$78,"Yes",'SDE Plan'!$L$6:$L$78,"Done"),2,1),""))</f>
        <v/>
      </c>
      <c r="AB14" s="86" t="str">
        <f aca="false">IF($C14="","",IF(AND(AB$5&gt;=$C14,AB$5&lt;=$D14),IF(AB$5&lt;$C14+COUNTIFS('SDE Plan'!$F$6:$F$78,$B14,'SDE Plan'!$B$6:$B$78,"Yes",'SDE Plan'!$L$6:$L$78,"Done"),2,1),""))</f>
        <v/>
      </c>
      <c r="AC14" s="86" t="str">
        <f aca="false">IF($C14="","",IF(AND(AC$5&gt;=$C14,AC$5&lt;=$D14),IF(AC$5&lt;$C14+COUNTIFS('SDE Plan'!$F$6:$F$78,$B14,'SDE Plan'!$B$6:$B$78,"Yes",'SDE Plan'!$L$6:$L$78,"Done"),2,1),""))</f>
        <v/>
      </c>
      <c r="AD14" s="86" t="str">
        <f aca="false">IF($C14="","",IF(AND(AD$5&gt;=$C14,AD$5&lt;=$D14),IF(AD$5&lt;$C14+COUNTIFS('SDE Plan'!$F$6:$F$78,$B14,'SDE Plan'!$B$6:$B$78,"Yes",'SDE Plan'!$L$6:$L$78,"Done"),2,1),""))</f>
        <v/>
      </c>
      <c r="AE14" s="86" t="str">
        <f aca="false">IF($C14="","",IF(AND(AE$5&gt;=$C14,AE$5&lt;=$D14),IF(AE$5&lt;$C14+COUNTIFS('SDE Plan'!$F$6:$F$78,$B14,'SDE Plan'!$B$6:$B$78,"Yes",'SDE Plan'!$L$6:$L$78,"Done"),2,1),""))</f>
        <v/>
      </c>
      <c r="AF14" s="86" t="str">
        <f aca="false">IF($C14="","",IF(AND(AF$5&gt;=$C14,AF$5&lt;=$D14),IF(AF$5&lt;$C14+COUNTIFS('SDE Plan'!$F$6:$F$78,$B14,'SDE Plan'!$B$6:$B$78,"Yes",'SDE Plan'!$L$6:$L$78,"Done"),2,1),""))</f>
        <v/>
      </c>
      <c r="AG14" s="86" t="str">
        <f aca="false">IF($C14="","",IF(AND(AG$5&gt;=$C14,AG$5&lt;=$D14),IF(AG$5&lt;$C14+COUNTIFS('SDE Plan'!$F$6:$F$78,$B14,'SDE Plan'!$B$6:$B$78,"Yes",'SDE Plan'!$L$6:$L$78,"Done"),2,1),""))</f>
        <v/>
      </c>
      <c r="AH14" s="86" t="str">
        <f aca="false">IF($C14="","",IF(AND(AH$5&gt;=$C14,AH$5&lt;=$D14),IF(AH$5&lt;$C14+COUNTIFS('SDE Plan'!$F$6:$F$78,$B14,'SDE Plan'!$B$6:$B$78,"Yes",'SDE Plan'!$L$6:$L$78,"Done"),2,1),""))</f>
        <v/>
      </c>
      <c r="AI14" s="86" t="str">
        <f aca="false">IF($C14="","",IF(AND(AI$5&gt;=$C14,AI$5&lt;=$D14),IF(AI$5&lt;$C14+COUNTIFS('SDE Plan'!$F$6:$F$78,$B14,'SDE Plan'!$B$6:$B$78,"Yes",'SDE Plan'!$L$6:$L$78,"Done"),2,1),""))</f>
        <v/>
      </c>
      <c r="AJ14" s="86" t="str">
        <f aca="false">IF($C14="","",IF(AND(AJ$5&gt;=$C14,AJ$5&lt;=$D14),IF(AJ$5&lt;$C14+COUNTIFS('SDE Plan'!$F$6:$F$78,$B14,'SDE Plan'!$B$6:$B$78,"Yes",'SDE Plan'!$L$6:$L$78,"Done"),2,1),""))</f>
        <v/>
      </c>
      <c r="AK14" s="86" t="str">
        <f aca="false">IF($C14="","",IF(AND(AK$5&gt;=$C14,AK$5&lt;=$D14),IF(AK$5&lt;$C14+COUNTIFS('SDE Plan'!$F$6:$F$78,$B14,'SDE Plan'!$B$6:$B$78,"Yes",'SDE Plan'!$L$6:$L$78,"Done"),2,1),""))</f>
        <v/>
      </c>
      <c r="AL14" s="86" t="str">
        <f aca="false">IF($C14="","",IF(AND(AL$5&gt;=$C14,AL$5&lt;=$D14),IF(AL$5&lt;$C14+COUNTIFS('SDE Plan'!$F$6:$F$78,$B14,'SDE Plan'!$B$6:$B$78,"Yes",'SDE Plan'!$L$6:$L$78,"Done"),2,1),""))</f>
        <v/>
      </c>
      <c r="AM14" s="86" t="str">
        <f aca="false">IF($C14="","",IF(AND(AM$5&gt;=$C14,AM$5&lt;=$D14),IF(AM$5&lt;$C14+COUNTIFS('SDE Plan'!$F$6:$F$78,$B14,'SDE Plan'!$B$6:$B$78,"Yes",'SDE Plan'!$L$6:$L$78,"Done"),2,1),""))</f>
        <v/>
      </c>
      <c r="AN14" s="86" t="str">
        <f aca="false">IF($C14="","",IF(AND(AN$5&gt;=$C14,AN$5&lt;=$D14),IF(AN$5&lt;$C14+COUNTIFS('SDE Plan'!$F$6:$F$78,$B14,'SDE Plan'!$B$6:$B$78,"Yes",'SDE Plan'!$L$6:$L$78,"Done"),2,1),""))</f>
        <v/>
      </c>
      <c r="AO14" s="86" t="str">
        <f aca="false">IF($C14="","",IF(AND(AO$5&gt;=$C14,AO$5&lt;=$D14),IF(AO$5&lt;$C14+COUNTIFS('SDE Plan'!$F$6:$F$78,$B14,'SDE Plan'!$B$6:$B$78,"Yes",'SDE Plan'!$L$6:$L$78,"Done"),2,1),""))</f>
        <v/>
      </c>
      <c r="AP14" s="86" t="str">
        <f aca="false">IF($C14="","",IF(AND(AP$5&gt;=$C14,AP$5&lt;=$D14),IF(AP$5&lt;$C14+COUNTIFS('SDE Plan'!$F$6:$F$78,$B14,'SDE Plan'!$B$6:$B$78,"Yes",'SDE Plan'!$L$6:$L$78,"Done"),2,1),""))</f>
        <v/>
      </c>
      <c r="AQ14" s="86" t="str">
        <f aca="false">IF($C14="","",IF(AND(AQ$5&gt;=$C14,AQ$5&lt;=$D14),IF(AQ$5&lt;$C14+COUNTIFS('SDE Plan'!$F$6:$F$78,$B14,'SDE Plan'!$B$6:$B$78,"Yes",'SDE Plan'!$L$6:$L$78,"Done"),2,1),""))</f>
        <v/>
      </c>
    </row>
    <row r="15" customFormat="false" ht="18" hidden="false" customHeight="true" outlineLevel="0" collapsed="false">
      <c r="A15" s="84" t="s">
        <v>19</v>
      </c>
      <c r="B15" s="90" t="s">
        <v>104</v>
      </c>
      <c r="C15" s="84" t="n">
        <f aca="false">IF(COUNTIFS('SDE Plan'!$F$6:$F$78,$B15,'SDE Plan'!$B$6:$B$78,"Yes")=0,"",_xlfn.MINIFS('SDE Plan'!$A$6:$A$78,'SDE Plan'!$F$6:$F$78,$B15,'SDE Plan'!$B$6:$B$78,"Yes"))</f>
        <v>18</v>
      </c>
      <c r="D15" s="84" t="n">
        <f aca="false">IF(COUNTIFS('SDE Plan'!$F$6:$F$78,$B15,'SDE Plan'!$B$6:$B$78,"Yes")=0,"",_xlfn.MAXIFS('SDE Plan'!$A$6:$A$78,'SDE Plan'!$F$6:$F$78,$B15,'SDE Plan'!$B$6:$B$78,"Yes"))</f>
        <v>19</v>
      </c>
      <c r="E15" s="86" t="str">
        <f aca="false">IF($C15="","",IF(AND(E$5&gt;=$C15,E$5&lt;=$D15),IF(E$5&lt;$C15+COUNTIFS('SDE Plan'!$F$6:$F$78,$B15,'SDE Plan'!$B$6:$B$78,"Yes",'SDE Plan'!$L$6:$L$78,"Done"),2,1),""))</f>
        <v/>
      </c>
      <c r="F15" s="86" t="str">
        <f aca="false">IF($C15="","",IF(AND(F$5&gt;=$C15,F$5&lt;=$D15),IF(F$5&lt;$C15+COUNTIFS('SDE Plan'!$F$6:$F$78,$B15,'SDE Plan'!$B$6:$B$78,"Yes",'SDE Plan'!$L$6:$L$78,"Done"),2,1),""))</f>
        <v/>
      </c>
      <c r="G15" s="86" t="str">
        <f aca="false">IF($C15="","",IF(AND(G$5&gt;=$C15,G$5&lt;=$D15),IF(G$5&lt;$C15+COUNTIFS('SDE Plan'!$F$6:$F$78,$B15,'SDE Plan'!$B$6:$B$78,"Yes",'SDE Plan'!$L$6:$L$78,"Done"),2,1),""))</f>
        <v/>
      </c>
      <c r="H15" s="86" t="str">
        <f aca="false">IF($C15="","",IF(AND(H$5&gt;=$C15,H$5&lt;=$D15),IF(H$5&lt;$C15+COUNTIFS('SDE Plan'!$F$6:$F$78,$B15,'SDE Plan'!$B$6:$B$78,"Yes",'SDE Plan'!$L$6:$L$78,"Done"),2,1),""))</f>
        <v/>
      </c>
      <c r="I15" s="86" t="str">
        <f aca="false">IF($C15="","",IF(AND(I$5&gt;=$C15,I$5&lt;=$D15),IF(I$5&lt;$C15+COUNTIFS('SDE Plan'!$F$6:$F$78,$B15,'SDE Plan'!$B$6:$B$78,"Yes",'SDE Plan'!$L$6:$L$78,"Done"),2,1),""))</f>
        <v/>
      </c>
      <c r="J15" s="86" t="str">
        <f aca="false">IF($C15="","",IF(AND(J$5&gt;=$C15,J$5&lt;=$D15),IF(J$5&lt;$C15+COUNTIFS('SDE Plan'!$F$6:$F$78,$B15,'SDE Plan'!$B$6:$B$78,"Yes",'SDE Plan'!$L$6:$L$78,"Done"),2,1),""))</f>
        <v/>
      </c>
      <c r="K15" s="86" t="str">
        <f aca="false">IF($C15="","",IF(AND(K$5&gt;=$C15,K$5&lt;=$D15),IF(K$5&lt;$C15+COUNTIFS('SDE Plan'!$F$6:$F$78,$B15,'SDE Plan'!$B$6:$B$78,"Yes",'SDE Plan'!$L$6:$L$78,"Done"),2,1),""))</f>
        <v/>
      </c>
      <c r="L15" s="86" t="str">
        <f aca="false">IF($C15="","",IF(AND(L$5&gt;=$C15,L$5&lt;=$D15),IF(L$5&lt;$C15+COUNTIFS('SDE Plan'!$F$6:$F$78,$B15,'SDE Plan'!$B$6:$B$78,"Yes",'SDE Plan'!$L$6:$L$78,"Done"),2,1),""))</f>
        <v/>
      </c>
      <c r="M15" s="86" t="str">
        <f aca="false">IF($C15="","",IF(AND(M$5&gt;=$C15,M$5&lt;=$D15),IF(M$5&lt;$C15+COUNTIFS('SDE Plan'!$F$6:$F$78,$B15,'SDE Plan'!$B$6:$B$78,"Yes",'SDE Plan'!$L$6:$L$78,"Done"),2,1),""))</f>
        <v/>
      </c>
      <c r="N15" s="86" t="str">
        <f aca="false">IF($C15="","",IF(AND(N$5&gt;=$C15,N$5&lt;=$D15),IF(N$5&lt;$C15+COUNTIFS('SDE Plan'!$F$6:$F$78,$B15,'SDE Plan'!$B$6:$B$78,"Yes",'SDE Plan'!$L$6:$L$78,"Done"),2,1),""))</f>
        <v/>
      </c>
      <c r="O15" s="86" t="str">
        <f aca="false">IF($C15="","",IF(AND(O$5&gt;=$C15,O$5&lt;=$D15),IF(O$5&lt;$C15+COUNTIFS('SDE Plan'!$F$6:$F$78,$B15,'SDE Plan'!$B$6:$B$78,"Yes",'SDE Plan'!$L$6:$L$78,"Done"),2,1),""))</f>
        <v/>
      </c>
      <c r="P15" s="86" t="str">
        <f aca="false">IF($C15="","",IF(AND(P$5&gt;=$C15,P$5&lt;=$D15),IF(P$5&lt;$C15+COUNTIFS('SDE Plan'!$F$6:$F$78,$B15,'SDE Plan'!$B$6:$B$78,"Yes",'SDE Plan'!$L$6:$L$78,"Done"),2,1),""))</f>
        <v/>
      </c>
      <c r="Q15" s="86" t="str">
        <f aca="false">IF($C15="","",IF(AND(Q$5&gt;=$C15,Q$5&lt;=$D15),IF(Q$5&lt;$C15+COUNTIFS('SDE Plan'!$F$6:$F$78,$B15,'SDE Plan'!$B$6:$B$78,"Yes",'SDE Plan'!$L$6:$L$78,"Done"),2,1),""))</f>
        <v/>
      </c>
      <c r="R15" s="86" t="str">
        <f aca="false">IF($C15="","",IF(AND(R$5&gt;=$C15,R$5&lt;=$D15),IF(R$5&lt;$C15+COUNTIFS('SDE Plan'!$F$6:$F$78,$B15,'SDE Plan'!$B$6:$B$78,"Yes",'SDE Plan'!$L$6:$L$78,"Done"),2,1),""))</f>
        <v/>
      </c>
      <c r="S15" s="86" t="str">
        <f aca="false">IF($C15="","",IF(AND(S$5&gt;=$C15,S$5&lt;=$D15),IF(S$5&lt;$C15+COUNTIFS('SDE Plan'!$F$6:$F$78,$B15,'SDE Plan'!$B$6:$B$78,"Yes",'SDE Plan'!$L$6:$L$78,"Done"),2,1),""))</f>
        <v/>
      </c>
      <c r="T15" s="86" t="str">
        <f aca="false">IF($C15="","",IF(AND(T$5&gt;=$C15,T$5&lt;=$D15),IF(T$5&lt;$C15+COUNTIFS('SDE Plan'!$F$6:$F$78,$B15,'SDE Plan'!$B$6:$B$78,"Yes",'SDE Plan'!$L$6:$L$78,"Done"),2,1),""))</f>
        <v/>
      </c>
      <c r="U15" s="86" t="str">
        <f aca="false">IF($C15="","",IF(AND(U$5&gt;=$C15,U$5&lt;=$D15),IF(U$5&lt;$C15+COUNTIFS('SDE Plan'!$F$6:$F$78,$B15,'SDE Plan'!$B$6:$B$78,"Yes",'SDE Plan'!$L$6:$L$78,"Done"),2,1),""))</f>
        <v/>
      </c>
      <c r="V15" s="86" t="n">
        <f aca="false">IF($C15="","",IF(AND(V$5&gt;=$C15,V$5&lt;=$D15),IF(V$5&lt;$C15+COUNTIFS('SDE Plan'!$F$6:$F$78,$B15,'SDE Plan'!$B$6:$B$78,"Yes",'SDE Plan'!$L$6:$L$78,"Done"),2,1),""))</f>
        <v>1</v>
      </c>
      <c r="W15" s="86" t="n">
        <f aca="false">IF($C15="","",IF(AND(W$5&gt;=$C15,W$5&lt;=$D15),IF(W$5&lt;$C15+COUNTIFS('SDE Plan'!$F$6:$F$78,$B15,'SDE Plan'!$B$6:$B$78,"Yes",'SDE Plan'!$L$6:$L$78,"Done"),2,1),""))</f>
        <v>1</v>
      </c>
      <c r="X15" s="86" t="str">
        <f aca="false">IF($C15="","",IF(AND(X$5&gt;=$C15,X$5&lt;=$D15),IF(X$5&lt;$C15+COUNTIFS('SDE Plan'!$F$6:$F$78,$B15,'SDE Plan'!$B$6:$B$78,"Yes",'SDE Plan'!$L$6:$L$78,"Done"),2,1),""))</f>
        <v/>
      </c>
      <c r="Y15" s="86" t="str">
        <f aca="false">IF($C15="","",IF(AND(Y$5&gt;=$C15,Y$5&lt;=$D15),IF(Y$5&lt;$C15+COUNTIFS('SDE Plan'!$F$6:$F$78,$B15,'SDE Plan'!$B$6:$B$78,"Yes",'SDE Plan'!$L$6:$L$78,"Done"),2,1),""))</f>
        <v/>
      </c>
      <c r="Z15" s="86" t="str">
        <f aca="false">IF($C15="","",IF(AND(Z$5&gt;=$C15,Z$5&lt;=$D15),IF(Z$5&lt;$C15+COUNTIFS('SDE Plan'!$F$6:$F$78,$B15,'SDE Plan'!$B$6:$B$78,"Yes",'SDE Plan'!$L$6:$L$78,"Done"),2,1),""))</f>
        <v/>
      </c>
      <c r="AA15" s="86" t="str">
        <f aca="false">IF($C15="","",IF(AND(AA$5&gt;=$C15,AA$5&lt;=$D15),IF(AA$5&lt;$C15+COUNTIFS('SDE Plan'!$F$6:$F$78,$B15,'SDE Plan'!$B$6:$B$78,"Yes",'SDE Plan'!$L$6:$L$78,"Done"),2,1),""))</f>
        <v/>
      </c>
      <c r="AB15" s="86" t="str">
        <f aca="false">IF($C15="","",IF(AND(AB$5&gt;=$C15,AB$5&lt;=$D15),IF(AB$5&lt;$C15+COUNTIFS('SDE Plan'!$F$6:$F$78,$B15,'SDE Plan'!$B$6:$B$78,"Yes",'SDE Plan'!$L$6:$L$78,"Done"),2,1),""))</f>
        <v/>
      </c>
      <c r="AC15" s="86" t="str">
        <f aca="false">IF($C15="","",IF(AND(AC$5&gt;=$C15,AC$5&lt;=$D15),IF(AC$5&lt;$C15+COUNTIFS('SDE Plan'!$F$6:$F$78,$B15,'SDE Plan'!$B$6:$B$78,"Yes",'SDE Plan'!$L$6:$L$78,"Done"),2,1),""))</f>
        <v/>
      </c>
      <c r="AD15" s="86" t="str">
        <f aca="false">IF($C15="","",IF(AND(AD$5&gt;=$C15,AD$5&lt;=$D15),IF(AD$5&lt;$C15+COUNTIFS('SDE Plan'!$F$6:$F$78,$B15,'SDE Plan'!$B$6:$B$78,"Yes",'SDE Plan'!$L$6:$L$78,"Done"),2,1),""))</f>
        <v/>
      </c>
      <c r="AE15" s="86" t="str">
        <f aca="false">IF($C15="","",IF(AND(AE$5&gt;=$C15,AE$5&lt;=$D15),IF(AE$5&lt;$C15+COUNTIFS('SDE Plan'!$F$6:$F$78,$B15,'SDE Plan'!$B$6:$B$78,"Yes",'SDE Plan'!$L$6:$L$78,"Done"),2,1),""))</f>
        <v/>
      </c>
      <c r="AF15" s="86" t="str">
        <f aca="false">IF($C15="","",IF(AND(AF$5&gt;=$C15,AF$5&lt;=$D15),IF(AF$5&lt;$C15+COUNTIFS('SDE Plan'!$F$6:$F$78,$B15,'SDE Plan'!$B$6:$B$78,"Yes",'SDE Plan'!$L$6:$L$78,"Done"),2,1),""))</f>
        <v/>
      </c>
      <c r="AG15" s="86" t="str">
        <f aca="false">IF($C15="","",IF(AND(AG$5&gt;=$C15,AG$5&lt;=$D15),IF(AG$5&lt;$C15+COUNTIFS('SDE Plan'!$F$6:$F$78,$B15,'SDE Plan'!$B$6:$B$78,"Yes",'SDE Plan'!$L$6:$L$78,"Done"),2,1),""))</f>
        <v/>
      </c>
      <c r="AH15" s="86" t="str">
        <f aca="false">IF($C15="","",IF(AND(AH$5&gt;=$C15,AH$5&lt;=$D15),IF(AH$5&lt;$C15+COUNTIFS('SDE Plan'!$F$6:$F$78,$B15,'SDE Plan'!$B$6:$B$78,"Yes",'SDE Plan'!$L$6:$L$78,"Done"),2,1),""))</f>
        <v/>
      </c>
      <c r="AI15" s="86" t="str">
        <f aca="false">IF($C15="","",IF(AND(AI$5&gt;=$C15,AI$5&lt;=$D15),IF(AI$5&lt;$C15+COUNTIFS('SDE Plan'!$F$6:$F$78,$B15,'SDE Plan'!$B$6:$B$78,"Yes",'SDE Plan'!$L$6:$L$78,"Done"),2,1),""))</f>
        <v/>
      </c>
      <c r="AJ15" s="86" t="str">
        <f aca="false">IF($C15="","",IF(AND(AJ$5&gt;=$C15,AJ$5&lt;=$D15),IF(AJ$5&lt;$C15+COUNTIFS('SDE Plan'!$F$6:$F$78,$B15,'SDE Plan'!$B$6:$B$78,"Yes",'SDE Plan'!$L$6:$L$78,"Done"),2,1),""))</f>
        <v/>
      </c>
      <c r="AK15" s="86" t="str">
        <f aca="false">IF($C15="","",IF(AND(AK$5&gt;=$C15,AK$5&lt;=$D15),IF(AK$5&lt;$C15+COUNTIFS('SDE Plan'!$F$6:$F$78,$B15,'SDE Plan'!$B$6:$B$78,"Yes",'SDE Plan'!$L$6:$L$78,"Done"),2,1),""))</f>
        <v/>
      </c>
      <c r="AL15" s="86" t="str">
        <f aca="false">IF($C15="","",IF(AND(AL$5&gt;=$C15,AL$5&lt;=$D15),IF(AL$5&lt;$C15+COUNTIFS('SDE Plan'!$F$6:$F$78,$B15,'SDE Plan'!$B$6:$B$78,"Yes",'SDE Plan'!$L$6:$L$78,"Done"),2,1),""))</f>
        <v/>
      </c>
      <c r="AM15" s="86" t="str">
        <f aca="false">IF($C15="","",IF(AND(AM$5&gt;=$C15,AM$5&lt;=$D15),IF(AM$5&lt;$C15+COUNTIFS('SDE Plan'!$F$6:$F$78,$B15,'SDE Plan'!$B$6:$B$78,"Yes",'SDE Plan'!$L$6:$L$78,"Done"),2,1),""))</f>
        <v/>
      </c>
      <c r="AN15" s="86" t="str">
        <f aca="false">IF($C15="","",IF(AND(AN$5&gt;=$C15,AN$5&lt;=$D15),IF(AN$5&lt;$C15+COUNTIFS('SDE Plan'!$F$6:$F$78,$B15,'SDE Plan'!$B$6:$B$78,"Yes",'SDE Plan'!$L$6:$L$78,"Done"),2,1),""))</f>
        <v/>
      </c>
      <c r="AO15" s="86" t="str">
        <f aca="false">IF($C15="","",IF(AND(AO$5&gt;=$C15,AO$5&lt;=$D15),IF(AO$5&lt;$C15+COUNTIFS('SDE Plan'!$F$6:$F$78,$B15,'SDE Plan'!$B$6:$B$78,"Yes",'SDE Plan'!$L$6:$L$78,"Done"),2,1),""))</f>
        <v/>
      </c>
      <c r="AP15" s="86" t="str">
        <f aca="false">IF($C15="","",IF(AND(AP$5&gt;=$C15,AP$5&lt;=$D15),IF(AP$5&lt;$C15+COUNTIFS('SDE Plan'!$F$6:$F$78,$B15,'SDE Plan'!$B$6:$B$78,"Yes",'SDE Plan'!$L$6:$L$78,"Done"),2,1),""))</f>
        <v/>
      </c>
      <c r="AQ15" s="86" t="str">
        <f aca="false">IF($C15="","",IF(AND(AQ$5&gt;=$C15,AQ$5&lt;=$D15),IF(AQ$5&lt;$C15+COUNTIFS('SDE Plan'!$F$6:$F$78,$B15,'SDE Plan'!$B$6:$B$78,"Yes",'SDE Plan'!$L$6:$L$78,"Done"),2,1),""))</f>
        <v/>
      </c>
    </row>
    <row r="16" customFormat="false" ht="18" hidden="false" customHeight="true" outlineLevel="0" collapsed="false">
      <c r="A16" s="84" t="s">
        <v>19</v>
      </c>
      <c r="B16" s="91" t="s">
        <v>105</v>
      </c>
      <c r="C16" s="84" t="n">
        <f aca="false">IF(COUNTIFS('SDE Plan'!$F$6:$F$78,$B16,'SDE Plan'!$B$6:$B$78,"Yes")=0,"",_xlfn.MINIFS('SDE Plan'!$A$6:$A$78,'SDE Plan'!$F$6:$F$78,$B16,'SDE Plan'!$B$6:$B$78,"Yes"))</f>
        <v>20</v>
      </c>
      <c r="D16" s="84" t="n">
        <f aca="false">IF(COUNTIFS('SDE Plan'!$F$6:$F$78,$B16,'SDE Plan'!$B$6:$B$78,"Yes")=0,"",_xlfn.MAXIFS('SDE Plan'!$A$6:$A$78,'SDE Plan'!$F$6:$F$78,$B16,'SDE Plan'!$B$6:$B$78,"Yes"))</f>
        <v>22</v>
      </c>
      <c r="E16" s="86" t="str">
        <f aca="false">IF($C16="","",IF(AND(E$5&gt;=$C16,E$5&lt;=$D16),IF(E$5&lt;$C16+COUNTIFS('SDE Plan'!$F$6:$F$78,$B16,'SDE Plan'!$B$6:$B$78,"Yes",'SDE Plan'!$L$6:$L$78,"Done"),2,1),""))</f>
        <v/>
      </c>
      <c r="F16" s="86" t="str">
        <f aca="false">IF($C16="","",IF(AND(F$5&gt;=$C16,F$5&lt;=$D16),IF(F$5&lt;$C16+COUNTIFS('SDE Plan'!$F$6:$F$78,$B16,'SDE Plan'!$B$6:$B$78,"Yes",'SDE Plan'!$L$6:$L$78,"Done"),2,1),""))</f>
        <v/>
      </c>
      <c r="G16" s="86" t="str">
        <f aca="false">IF($C16="","",IF(AND(G$5&gt;=$C16,G$5&lt;=$D16),IF(G$5&lt;$C16+COUNTIFS('SDE Plan'!$F$6:$F$78,$B16,'SDE Plan'!$B$6:$B$78,"Yes",'SDE Plan'!$L$6:$L$78,"Done"),2,1),""))</f>
        <v/>
      </c>
      <c r="H16" s="86" t="str">
        <f aca="false">IF($C16="","",IF(AND(H$5&gt;=$C16,H$5&lt;=$D16),IF(H$5&lt;$C16+COUNTIFS('SDE Plan'!$F$6:$F$78,$B16,'SDE Plan'!$B$6:$B$78,"Yes",'SDE Plan'!$L$6:$L$78,"Done"),2,1),""))</f>
        <v/>
      </c>
      <c r="I16" s="86" t="str">
        <f aca="false">IF($C16="","",IF(AND(I$5&gt;=$C16,I$5&lt;=$D16),IF(I$5&lt;$C16+COUNTIFS('SDE Plan'!$F$6:$F$78,$B16,'SDE Plan'!$B$6:$B$78,"Yes",'SDE Plan'!$L$6:$L$78,"Done"),2,1),""))</f>
        <v/>
      </c>
      <c r="J16" s="86" t="str">
        <f aca="false">IF($C16="","",IF(AND(J$5&gt;=$C16,J$5&lt;=$D16),IF(J$5&lt;$C16+COUNTIFS('SDE Plan'!$F$6:$F$78,$B16,'SDE Plan'!$B$6:$B$78,"Yes",'SDE Plan'!$L$6:$L$78,"Done"),2,1),""))</f>
        <v/>
      </c>
      <c r="K16" s="86" t="str">
        <f aca="false">IF($C16="","",IF(AND(K$5&gt;=$C16,K$5&lt;=$D16),IF(K$5&lt;$C16+COUNTIFS('SDE Plan'!$F$6:$F$78,$B16,'SDE Plan'!$B$6:$B$78,"Yes",'SDE Plan'!$L$6:$L$78,"Done"),2,1),""))</f>
        <v/>
      </c>
      <c r="L16" s="86" t="str">
        <f aca="false">IF($C16="","",IF(AND(L$5&gt;=$C16,L$5&lt;=$D16),IF(L$5&lt;$C16+COUNTIFS('SDE Plan'!$F$6:$F$78,$B16,'SDE Plan'!$B$6:$B$78,"Yes",'SDE Plan'!$L$6:$L$78,"Done"),2,1),""))</f>
        <v/>
      </c>
      <c r="M16" s="86" t="str">
        <f aca="false">IF($C16="","",IF(AND(M$5&gt;=$C16,M$5&lt;=$D16),IF(M$5&lt;$C16+COUNTIFS('SDE Plan'!$F$6:$F$78,$B16,'SDE Plan'!$B$6:$B$78,"Yes",'SDE Plan'!$L$6:$L$78,"Done"),2,1),""))</f>
        <v/>
      </c>
      <c r="N16" s="86" t="str">
        <f aca="false">IF($C16="","",IF(AND(N$5&gt;=$C16,N$5&lt;=$D16),IF(N$5&lt;$C16+COUNTIFS('SDE Plan'!$F$6:$F$78,$B16,'SDE Plan'!$B$6:$B$78,"Yes",'SDE Plan'!$L$6:$L$78,"Done"),2,1),""))</f>
        <v/>
      </c>
      <c r="O16" s="86" t="str">
        <f aca="false">IF($C16="","",IF(AND(O$5&gt;=$C16,O$5&lt;=$D16),IF(O$5&lt;$C16+COUNTIFS('SDE Plan'!$F$6:$F$78,$B16,'SDE Plan'!$B$6:$B$78,"Yes",'SDE Plan'!$L$6:$L$78,"Done"),2,1),""))</f>
        <v/>
      </c>
      <c r="P16" s="86" t="str">
        <f aca="false">IF($C16="","",IF(AND(P$5&gt;=$C16,P$5&lt;=$D16),IF(P$5&lt;$C16+COUNTIFS('SDE Plan'!$F$6:$F$78,$B16,'SDE Plan'!$B$6:$B$78,"Yes",'SDE Plan'!$L$6:$L$78,"Done"),2,1),""))</f>
        <v/>
      </c>
      <c r="Q16" s="86" t="str">
        <f aca="false">IF($C16="","",IF(AND(Q$5&gt;=$C16,Q$5&lt;=$D16),IF(Q$5&lt;$C16+COUNTIFS('SDE Plan'!$F$6:$F$78,$B16,'SDE Plan'!$B$6:$B$78,"Yes",'SDE Plan'!$L$6:$L$78,"Done"),2,1),""))</f>
        <v/>
      </c>
      <c r="R16" s="86" t="str">
        <f aca="false">IF($C16="","",IF(AND(R$5&gt;=$C16,R$5&lt;=$D16),IF(R$5&lt;$C16+COUNTIFS('SDE Plan'!$F$6:$F$78,$B16,'SDE Plan'!$B$6:$B$78,"Yes",'SDE Plan'!$L$6:$L$78,"Done"),2,1),""))</f>
        <v/>
      </c>
      <c r="S16" s="86" t="str">
        <f aca="false">IF($C16="","",IF(AND(S$5&gt;=$C16,S$5&lt;=$D16),IF(S$5&lt;$C16+COUNTIFS('SDE Plan'!$F$6:$F$78,$B16,'SDE Plan'!$B$6:$B$78,"Yes",'SDE Plan'!$L$6:$L$78,"Done"),2,1),""))</f>
        <v/>
      </c>
      <c r="T16" s="86" t="str">
        <f aca="false">IF($C16="","",IF(AND(T$5&gt;=$C16,T$5&lt;=$D16),IF(T$5&lt;$C16+COUNTIFS('SDE Plan'!$F$6:$F$78,$B16,'SDE Plan'!$B$6:$B$78,"Yes",'SDE Plan'!$L$6:$L$78,"Done"),2,1),""))</f>
        <v/>
      </c>
      <c r="U16" s="86" t="str">
        <f aca="false">IF($C16="","",IF(AND(U$5&gt;=$C16,U$5&lt;=$D16),IF(U$5&lt;$C16+COUNTIFS('SDE Plan'!$F$6:$F$78,$B16,'SDE Plan'!$B$6:$B$78,"Yes",'SDE Plan'!$L$6:$L$78,"Done"),2,1),""))</f>
        <v/>
      </c>
      <c r="V16" s="86" t="str">
        <f aca="false">IF($C16="","",IF(AND(V$5&gt;=$C16,V$5&lt;=$D16),IF(V$5&lt;$C16+COUNTIFS('SDE Plan'!$F$6:$F$78,$B16,'SDE Plan'!$B$6:$B$78,"Yes",'SDE Plan'!$L$6:$L$78,"Done"),2,1),""))</f>
        <v/>
      </c>
      <c r="W16" s="86" t="str">
        <f aca="false">IF($C16="","",IF(AND(W$5&gt;=$C16,W$5&lt;=$D16),IF(W$5&lt;$C16+COUNTIFS('SDE Plan'!$F$6:$F$78,$B16,'SDE Plan'!$B$6:$B$78,"Yes",'SDE Plan'!$L$6:$L$78,"Done"),2,1),""))</f>
        <v/>
      </c>
      <c r="X16" s="86" t="n">
        <f aca="false">IF($C16="","",IF(AND(X$5&gt;=$C16,X$5&lt;=$D16),IF(X$5&lt;$C16+COUNTIFS('SDE Plan'!$F$6:$F$78,$B16,'SDE Plan'!$B$6:$B$78,"Yes",'SDE Plan'!$L$6:$L$78,"Done"),2,1),""))</f>
        <v>1</v>
      </c>
      <c r="Y16" s="86" t="n">
        <f aca="false">IF($C16="","",IF(AND(Y$5&gt;=$C16,Y$5&lt;=$D16),IF(Y$5&lt;$C16+COUNTIFS('SDE Plan'!$F$6:$F$78,$B16,'SDE Plan'!$B$6:$B$78,"Yes",'SDE Plan'!$L$6:$L$78,"Done"),2,1),""))</f>
        <v>1</v>
      </c>
      <c r="Z16" s="86" t="n">
        <f aca="false">IF($C16="","",IF(AND(Z$5&gt;=$C16,Z$5&lt;=$D16),IF(Z$5&lt;$C16+COUNTIFS('SDE Plan'!$F$6:$F$78,$B16,'SDE Plan'!$B$6:$B$78,"Yes",'SDE Plan'!$L$6:$L$78,"Done"),2,1),""))</f>
        <v>1</v>
      </c>
      <c r="AA16" s="86" t="str">
        <f aca="false">IF($C16="","",IF(AND(AA$5&gt;=$C16,AA$5&lt;=$D16),IF(AA$5&lt;$C16+COUNTIFS('SDE Plan'!$F$6:$F$78,$B16,'SDE Plan'!$B$6:$B$78,"Yes",'SDE Plan'!$L$6:$L$78,"Done"),2,1),""))</f>
        <v/>
      </c>
      <c r="AB16" s="86" t="str">
        <f aca="false">IF($C16="","",IF(AND(AB$5&gt;=$C16,AB$5&lt;=$D16),IF(AB$5&lt;$C16+COUNTIFS('SDE Plan'!$F$6:$F$78,$B16,'SDE Plan'!$B$6:$B$78,"Yes",'SDE Plan'!$L$6:$L$78,"Done"),2,1),""))</f>
        <v/>
      </c>
      <c r="AC16" s="86" t="str">
        <f aca="false">IF($C16="","",IF(AND(AC$5&gt;=$C16,AC$5&lt;=$D16),IF(AC$5&lt;$C16+COUNTIFS('SDE Plan'!$F$6:$F$78,$B16,'SDE Plan'!$B$6:$B$78,"Yes",'SDE Plan'!$L$6:$L$78,"Done"),2,1),""))</f>
        <v/>
      </c>
      <c r="AD16" s="86" t="str">
        <f aca="false">IF($C16="","",IF(AND(AD$5&gt;=$C16,AD$5&lt;=$D16),IF(AD$5&lt;$C16+COUNTIFS('SDE Plan'!$F$6:$F$78,$B16,'SDE Plan'!$B$6:$B$78,"Yes",'SDE Plan'!$L$6:$L$78,"Done"),2,1),""))</f>
        <v/>
      </c>
      <c r="AE16" s="86" t="str">
        <f aca="false">IF($C16="","",IF(AND(AE$5&gt;=$C16,AE$5&lt;=$D16),IF(AE$5&lt;$C16+COUNTIFS('SDE Plan'!$F$6:$F$78,$B16,'SDE Plan'!$B$6:$B$78,"Yes",'SDE Plan'!$L$6:$L$78,"Done"),2,1),""))</f>
        <v/>
      </c>
      <c r="AF16" s="86" t="str">
        <f aca="false">IF($C16="","",IF(AND(AF$5&gt;=$C16,AF$5&lt;=$D16),IF(AF$5&lt;$C16+COUNTIFS('SDE Plan'!$F$6:$F$78,$B16,'SDE Plan'!$B$6:$B$78,"Yes",'SDE Plan'!$L$6:$L$78,"Done"),2,1),""))</f>
        <v/>
      </c>
      <c r="AG16" s="86" t="str">
        <f aca="false">IF($C16="","",IF(AND(AG$5&gt;=$C16,AG$5&lt;=$D16),IF(AG$5&lt;$C16+COUNTIFS('SDE Plan'!$F$6:$F$78,$B16,'SDE Plan'!$B$6:$B$78,"Yes",'SDE Plan'!$L$6:$L$78,"Done"),2,1),""))</f>
        <v/>
      </c>
      <c r="AH16" s="86" t="str">
        <f aca="false">IF($C16="","",IF(AND(AH$5&gt;=$C16,AH$5&lt;=$D16),IF(AH$5&lt;$C16+COUNTIFS('SDE Plan'!$F$6:$F$78,$B16,'SDE Plan'!$B$6:$B$78,"Yes",'SDE Plan'!$L$6:$L$78,"Done"),2,1),""))</f>
        <v/>
      </c>
      <c r="AI16" s="86" t="str">
        <f aca="false">IF($C16="","",IF(AND(AI$5&gt;=$C16,AI$5&lt;=$D16),IF(AI$5&lt;$C16+COUNTIFS('SDE Plan'!$F$6:$F$78,$B16,'SDE Plan'!$B$6:$B$78,"Yes",'SDE Plan'!$L$6:$L$78,"Done"),2,1),""))</f>
        <v/>
      </c>
      <c r="AJ16" s="86" t="str">
        <f aca="false">IF($C16="","",IF(AND(AJ$5&gt;=$C16,AJ$5&lt;=$D16),IF(AJ$5&lt;$C16+COUNTIFS('SDE Plan'!$F$6:$F$78,$B16,'SDE Plan'!$B$6:$B$78,"Yes",'SDE Plan'!$L$6:$L$78,"Done"),2,1),""))</f>
        <v/>
      </c>
      <c r="AK16" s="86" t="str">
        <f aca="false">IF($C16="","",IF(AND(AK$5&gt;=$C16,AK$5&lt;=$D16),IF(AK$5&lt;$C16+COUNTIFS('SDE Plan'!$F$6:$F$78,$B16,'SDE Plan'!$B$6:$B$78,"Yes",'SDE Plan'!$L$6:$L$78,"Done"),2,1),""))</f>
        <v/>
      </c>
      <c r="AL16" s="86" t="str">
        <f aca="false">IF($C16="","",IF(AND(AL$5&gt;=$C16,AL$5&lt;=$D16),IF(AL$5&lt;$C16+COUNTIFS('SDE Plan'!$F$6:$F$78,$B16,'SDE Plan'!$B$6:$B$78,"Yes",'SDE Plan'!$L$6:$L$78,"Done"),2,1),""))</f>
        <v/>
      </c>
      <c r="AM16" s="86" t="str">
        <f aca="false">IF($C16="","",IF(AND(AM$5&gt;=$C16,AM$5&lt;=$D16),IF(AM$5&lt;$C16+COUNTIFS('SDE Plan'!$F$6:$F$78,$B16,'SDE Plan'!$B$6:$B$78,"Yes",'SDE Plan'!$L$6:$L$78,"Done"),2,1),""))</f>
        <v/>
      </c>
      <c r="AN16" s="86" t="str">
        <f aca="false">IF($C16="","",IF(AND(AN$5&gt;=$C16,AN$5&lt;=$D16),IF(AN$5&lt;$C16+COUNTIFS('SDE Plan'!$F$6:$F$78,$B16,'SDE Plan'!$B$6:$B$78,"Yes",'SDE Plan'!$L$6:$L$78,"Done"),2,1),""))</f>
        <v/>
      </c>
      <c r="AO16" s="86" t="str">
        <f aca="false">IF($C16="","",IF(AND(AO$5&gt;=$C16,AO$5&lt;=$D16),IF(AO$5&lt;$C16+COUNTIFS('SDE Plan'!$F$6:$F$78,$B16,'SDE Plan'!$B$6:$B$78,"Yes",'SDE Plan'!$L$6:$L$78,"Done"),2,1),""))</f>
        <v/>
      </c>
      <c r="AP16" s="86" t="str">
        <f aca="false">IF($C16="","",IF(AND(AP$5&gt;=$C16,AP$5&lt;=$D16),IF(AP$5&lt;$C16+COUNTIFS('SDE Plan'!$F$6:$F$78,$B16,'SDE Plan'!$B$6:$B$78,"Yes",'SDE Plan'!$L$6:$L$78,"Done"),2,1),""))</f>
        <v/>
      </c>
      <c r="AQ16" s="86" t="str">
        <f aca="false">IF($C16="","",IF(AND(AQ$5&gt;=$C16,AQ$5&lt;=$D16),IF(AQ$5&lt;$C16+COUNTIFS('SDE Plan'!$F$6:$F$78,$B16,'SDE Plan'!$B$6:$B$78,"Yes",'SDE Plan'!$L$6:$L$78,"Done"),2,1),""))</f>
        <v/>
      </c>
    </row>
    <row r="17" customFormat="false" ht="18" hidden="false" customHeight="true" outlineLevel="0" collapsed="false">
      <c r="A17" s="84" t="s">
        <v>19</v>
      </c>
      <c r="B17" s="91" t="s">
        <v>106</v>
      </c>
      <c r="C17" s="84" t="n">
        <f aca="false">IF(COUNTIFS('SDE Plan'!$F$6:$F$78,$B17,'SDE Plan'!$B$6:$B$78,"Yes")=0,"",_xlfn.MINIFS('SDE Plan'!$A$6:$A$78,'SDE Plan'!$F$6:$F$78,$B17,'SDE Plan'!$B$6:$B$78,"Yes"))</f>
        <v>23</v>
      </c>
      <c r="D17" s="84" t="n">
        <f aca="false">IF(COUNTIFS('SDE Plan'!$F$6:$F$78,$B17,'SDE Plan'!$B$6:$B$78,"Yes")=0,"",_xlfn.MAXIFS('SDE Plan'!$A$6:$A$78,'SDE Plan'!$F$6:$F$78,$B17,'SDE Plan'!$B$6:$B$78,"Yes"))</f>
        <v>24</v>
      </c>
      <c r="E17" s="86" t="str">
        <f aca="false">IF($C17="","",IF(AND(E$5&gt;=$C17,E$5&lt;=$D17),IF(E$5&lt;$C17+COUNTIFS('SDE Plan'!$F$6:$F$78,$B17,'SDE Plan'!$B$6:$B$78,"Yes",'SDE Plan'!$L$6:$L$78,"Done"),2,1),""))</f>
        <v/>
      </c>
      <c r="F17" s="86" t="str">
        <f aca="false">IF($C17="","",IF(AND(F$5&gt;=$C17,F$5&lt;=$D17),IF(F$5&lt;$C17+COUNTIFS('SDE Plan'!$F$6:$F$78,$B17,'SDE Plan'!$B$6:$B$78,"Yes",'SDE Plan'!$L$6:$L$78,"Done"),2,1),""))</f>
        <v/>
      </c>
      <c r="G17" s="86" t="str">
        <f aca="false">IF($C17="","",IF(AND(G$5&gt;=$C17,G$5&lt;=$D17),IF(G$5&lt;$C17+COUNTIFS('SDE Plan'!$F$6:$F$78,$B17,'SDE Plan'!$B$6:$B$78,"Yes",'SDE Plan'!$L$6:$L$78,"Done"),2,1),""))</f>
        <v/>
      </c>
      <c r="H17" s="86" t="str">
        <f aca="false">IF($C17="","",IF(AND(H$5&gt;=$C17,H$5&lt;=$D17),IF(H$5&lt;$C17+COUNTIFS('SDE Plan'!$F$6:$F$78,$B17,'SDE Plan'!$B$6:$B$78,"Yes",'SDE Plan'!$L$6:$L$78,"Done"),2,1),""))</f>
        <v/>
      </c>
      <c r="I17" s="86" t="str">
        <f aca="false">IF($C17="","",IF(AND(I$5&gt;=$C17,I$5&lt;=$D17),IF(I$5&lt;$C17+COUNTIFS('SDE Plan'!$F$6:$F$78,$B17,'SDE Plan'!$B$6:$B$78,"Yes",'SDE Plan'!$L$6:$L$78,"Done"),2,1),""))</f>
        <v/>
      </c>
      <c r="J17" s="86" t="str">
        <f aca="false">IF($C17="","",IF(AND(J$5&gt;=$C17,J$5&lt;=$D17),IF(J$5&lt;$C17+COUNTIFS('SDE Plan'!$F$6:$F$78,$B17,'SDE Plan'!$B$6:$B$78,"Yes",'SDE Plan'!$L$6:$L$78,"Done"),2,1),""))</f>
        <v/>
      </c>
      <c r="K17" s="86" t="str">
        <f aca="false">IF($C17="","",IF(AND(K$5&gt;=$C17,K$5&lt;=$D17),IF(K$5&lt;$C17+COUNTIFS('SDE Plan'!$F$6:$F$78,$B17,'SDE Plan'!$B$6:$B$78,"Yes",'SDE Plan'!$L$6:$L$78,"Done"),2,1),""))</f>
        <v/>
      </c>
      <c r="L17" s="86" t="str">
        <f aca="false">IF($C17="","",IF(AND(L$5&gt;=$C17,L$5&lt;=$D17),IF(L$5&lt;$C17+COUNTIFS('SDE Plan'!$F$6:$F$78,$B17,'SDE Plan'!$B$6:$B$78,"Yes",'SDE Plan'!$L$6:$L$78,"Done"),2,1),""))</f>
        <v/>
      </c>
      <c r="M17" s="86" t="str">
        <f aca="false">IF($C17="","",IF(AND(M$5&gt;=$C17,M$5&lt;=$D17),IF(M$5&lt;$C17+COUNTIFS('SDE Plan'!$F$6:$F$78,$B17,'SDE Plan'!$B$6:$B$78,"Yes",'SDE Plan'!$L$6:$L$78,"Done"),2,1),""))</f>
        <v/>
      </c>
      <c r="N17" s="86" t="str">
        <f aca="false">IF($C17="","",IF(AND(N$5&gt;=$C17,N$5&lt;=$D17),IF(N$5&lt;$C17+COUNTIFS('SDE Plan'!$F$6:$F$78,$B17,'SDE Plan'!$B$6:$B$78,"Yes",'SDE Plan'!$L$6:$L$78,"Done"),2,1),""))</f>
        <v/>
      </c>
      <c r="O17" s="86" t="str">
        <f aca="false">IF($C17="","",IF(AND(O$5&gt;=$C17,O$5&lt;=$D17),IF(O$5&lt;$C17+COUNTIFS('SDE Plan'!$F$6:$F$78,$B17,'SDE Plan'!$B$6:$B$78,"Yes",'SDE Plan'!$L$6:$L$78,"Done"),2,1),""))</f>
        <v/>
      </c>
      <c r="P17" s="86" t="str">
        <f aca="false">IF($C17="","",IF(AND(P$5&gt;=$C17,P$5&lt;=$D17),IF(P$5&lt;$C17+COUNTIFS('SDE Plan'!$F$6:$F$78,$B17,'SDE Plan'!$B$6:$B$78,"Yes",'SDE Plan'!$L$6:$L$78,"Done"),2,1),""))</f>
        <v/>
      </c>
      <c r="Q17" s="86" t="str">
        <f aca="false">IF($C17="","",IF(AND(Q$5&gt;=$C17,Q$5&lt;=$D17),IF(Q$5&lt;$C17+COUNTIFS('SDE Plan'!$F$6:$F$78,$B17,'SDE Plan'!$B$6:$B$78,"Yes",'SDE Plan'!$L$6:$L$78,"Done"),2,1),""))</f>
        <v/>
      </c>
      <c r="R17" s="86" t="str">
        <f aca="false">IF($C17="","",IF(AND(R$5&gt;=$C17,R$5&lt;=$D17),IF(R$5&lt;$C17+COUNTIFS('SDE Plan'!$F$6:$F$78,$B17,'SDE Plan'!$B$6:$B$78,"Yes",'SDE Plan'!$L$6:$L$78,"Done"),2,1),""))</f>
        <v/>
      </c>
      <c r="S17" s="86" t="str">
        <f aca="false">IF($C17="","",IF(AND(S$5&gt;=$C17,S$5&lt;=$D17),IF(S$5&lt;$C17+COUNTIFS('SDE Plan'!$F$6:$F$78,$B17,'SDE Plan'!$B$6:$B$78,"Yes",'SDE Plan'!$L$6:$L$78,"Done"),2,1),""))</f>
        <v/>
      </c>
      <c r="T17" s="86" t="str">
        <f aca="false">IF($C17="","",IF(AND(T$5&gt;=$C17,T$5&lt;=$D17),IF(T$5&lt;$C17+COUNTIFS('SDE Plan'!$F$6:$F$78,$B17,'SDE Plan'!$B$6:$B$78,"Yes",'SDE Plan'!$L$6:$L$78,"Done"),2,1),""))</f>
        <v/>
      </c>
      <c r="U17" s="86" t="str">
        <f aca="false">IF($C17="","",IF(AND(U$5&gt;=$C17,U$5&lt;=$D17),IF(U$5&lt;$C17+COUNTIFS('SDE Plan'!$F$6:$F$78,$B17,'SDE Plan'!$B$6:$B$78,"Yes",'SDE Plan'!$L$6:$L$78,"Done"),2,1),""))</f>
        <v/>
      </c>
      <c r="V17" s="86" t="str">
        <f aca="false">IF($C17="","",IF(AND(V$5&gt;=$C17,V$5&lt;=$D17),IF(V$5&lt;$C17+COUNTIFS('SDE Plan'!$F$6:$F$78,$B17,'SDE Plan'!$B$6:$B$78,"Yes",'SDE Plan'!$L$6:$L$78,"Done"),2,1),""))</f>
        <v/>
      </c>
      <c r="W17" s="86" t="str">
        <f aca="false">IF($C17="","",IF(AND(W$5&gt;=$C17,W$5&lt;=$D17),IF(W$5&lt;$C17+COUNTIFS('SDE Plan'!$F$6:$F$78,$B17,'SDE Plan'!$B$6:$B$78,"Yes",'SDE Plan'!$L$6:$L$78,"Done"),2,1),""))</f>
        <v/>
      </c>
      <c r="X17" s="86" t="str">
        <f aca="false">IF($C17="","",IF(AND(X$5&gt;=$C17,X$5&lt;=$D17),IF(X$5&lt;$C17+COUNTIFS('SDE Plan'!$F$6:$F$78,$B17,'SDE Plan'!$B$6:$B$78,"Yes",'SDE Plan'!$L$6:$L$78,"Done"),2,1),""))</f>
        <v/>
      </c>
      <c r="Y17" s="86" t="str">
        <f aca="false">IF($C17="","",IF(AND(Y$5&gt;=$C17,Y$5&lt;=$D17),IF(Y$5&lt;$C17+COUNTIFS('SDE Plan'!$F$6:$F$78,$B17,'SDE Plan'!$B$6:$B$78,"Yes",'SDE Plan'!$L$6:$L$78,"Done"),2,1),""))</f>
        <v/>
      </c>
      <c r="Z17" s="86" t="str">
        <f aca="false">IF($C17="","",IF(AND(Z$5&gt;=$C17,Z$5&lt;=$D17),IF(Z$5&lt;$C17+COUNTIFS('SDE Plan'!$F$6:$F$78,$B17,'SDE Plan'!$B$6:$B$78,"Yes",'SDE Plan'!$L$6:$L$78,"Done"),2,1),""))</f>
        <v/>
      </c>
      <c r="AA17" s="86" t="n">
        <f aca="false">IF($C17="","",IF(AND(AA$5&gt;=$C17,AA$5&lt;=$D17),IF(AA$5&lt;$C17+COUNTIFS('SDE Plan'!$F$6:$F$78,$B17,'SDE Plan'!$B$6:$B$78,"Yes",'SDE Plan'!$L$6:$L$78,"Done"),2,1),""))</f>
        <v>1</v>
      </c>
      <c r="AB17" s="86" t="n">
        <f aca="false">IF($C17="","",IF(AND(AB$5&gt;=$C17,AB$5&lt;=$D17),IF(AB$5&lt;$C17+COUNTIFS('SDE Plan'!$F$6:$F$78,$B17,'SDE Plan'!$B$6:$B$78,"Yes",'SDE Plan'!$L$6:$L$78,"Done"),2,1),""))</f>
        <v>1</v>
      </c>
      <c r="AC17" s="86" t="str">
        <f aca="false">IF($C17="","",IF(AND(AC$5&gt;=$C17,AC$5&lt;=$D17),IF(AC$5&lt;$C17+COUNTIFS('SDE Plan'!$F$6:$F$78,$B17,'SDE Plan'!$B$6:$B$78,"Yes",'SDE Plan'!$L$6:$L$78,"Done"),2,1),""))</f>
        <v/>
      </c>
      <c r="AD17" s="86" t="str">
        <f aca="false">IF($C17="","",IF(AND(AD$5&gt;=$C17,AD$5&lt;=$D17),IF(AD$5&lt;$C17+COUNTIFS('SDE Plan'!$F$6:$F$78,$B17,'SDE Plan'!$B$6:$B$78,"Yes",'SDE Plan'!$L$6:$L$78,"Done"),2,1),""))</f>
        <v/>
      </c>
      <c r="AE17" s="86" t="str">
        <f aca="false">IF($C17="","",IF(AND(AE$5&gt;=$C17,AE$5&lt;=$D17),IF(AE$5&lt;$C17+COUNTIFS('SDE Plan'!$F$6:$F$78,$B17,'SDE Plan'!$B$6:$B$78,"Yes",'SDE Plan'!$L$6:$L$78,"Done"),2,1),""))</f>
        <v/>
      </c>
      <c r="AF17" s="86" t="str">
        <f aca="false">IF($C17="","",IF(AND(AF$5&gt;=$C17,AF$5&lt;=$D17),IF(AF$5&lt;$C17+COUNTIFS('SDE Plan'!$F$6:$F$78,$B17,'SDE Plan'!$B$6:$B$78,"Yes",'SDE Plan'!$L$6:$L$78,"Done"),2,1),""))</f>
        <v/>
      </c>
      <c r="AG17" s="86" t="str">
        <f aca="false">IF($C17="","",IF(AND(AG$5&gt;=$C17,AG$5&lt;=$D17),IF(AG$5&lt;$C17+COUNTIFS('SDE Plan'!$F$6:$F$78,$B17,'SDE Plan'!$B$6:$B$78,"Yes",'SDE Plan'!$L$6:$L$78,"Done"),2,1),""))</f>
        <v/>
      </c>
      <c r="AH17" s="86" t="str">
        <f aca="false">IF($C17="","",IF(AND(AH$5&gt;=$C17,AH$5&lt;=$D17),IF(AH$5&lt;$C17+COUNTIFS('SDE Plan'!$F$6:$F$78,$B17,'SDE Plan'!$B$6:$B$78,"Yes",'SDE Plan'!$L$6:$L$78,"Done"),2,1),""))</f>
        <v/>
      </c>
      <c r="AI17" s="86" t="str">
        <f aca="false">IF($C17="","",IF(AND(AI$5&gt;=$C17,AI$5&lt;=$D17),IF(AI$5&lt;$C17+COUNTIFS('SDE Plan'!$F$6:$F$78,$B17,'SDE Plan'!$B$6:$B$78,"Yes",'SDE Plan'!$L$6:$L$78,"Done"),2,1),""))</f>
        <v/>
      </c>
      <c r="AJ17" s="86" t="str">
        <f aca="false">IF($C17="","",IF(AND(AJ$5&gt;=$C17,AJ$5&lt;=$D17),IF(AJ$5&lt;$C17+COUNTIFS('SDE Plan'!$F$6:$F$78,$B17,'SDE Plan'!$B$6:$B$78,"Yes",'SDE Plan'!$L$6:$L$78,"Done"),2,1),""))</f>
        <v/>
      </c>
      <c r="AK17" s="86" t="str">
        <f aca="false">IF($C17="","",IF(AND(AK$5&gt;=$C17,AK$5&lt;=$D17),IF(AK$5&lt;$C17+COUNTIFS('SDE Plan'!$F$6:$F$78,$B17,'SDE Plan'!$B$6:$B$78,"Yes",'SDE Plan'!$L$6:$L$78,"Done"),2,1),""))</f>
        <v/>
      </c>
      <c r="AL17" s="86" t="str">
        <f aca="false">IF($C17="","",IF(AND(AL$5&gt;=$C17,AL$5&lt;=$D17),IF(AL$5&lt;$C17+COUNTIFS('SDE Plan'!$F$6:$F$78,$B17,'SDE Plan'!$B$6:$B$78,"Yes",'SDE Plan'!$L$6:$L$78,"Done"),2,1),""))</f>
        <v/>
      </c>
      <c r="AM17" s="86" t="str">
        <f aca="false">IF($C17="","",IF(AND(AM$5&gt;=$C17,AM$5&lt;=$D17),IF(AM$5&lt;$C17+COUNTIFS('SDE Plan'!$F$6:$F$78,$B17,'SDE Plan'!$B$6:$B$78,"Yes",'SDE Plan'!$L$6:$L$78,"Done"),2,1),""))</f>
        <v/>
      </c>
      <c r="AN17" s="86" t="str">
        <f aca="false">IF($C17="","",IF(AND(AN$5&gt;=$C17,AN$5&lt;=$D17),IF(AN$5&lt;$C17+COUNTIFS('SDE Plan'!$F$6:$F$78,$B17,'SDE Plan'!$B$6:$B$78,"Yes",'SDE Plan'!$L$6:$L$78,"Done"),2,1),""))</f>
        <v/>
      </c>
      <c r="AO17" s="86" t="str">
        <f aca="false">IF($C17="","",IF(AND(AO$5&gt;=$C17,AO$5&lt;=$D17),IF(AO$5&lt;$C17+COUNTIFS('SDE Plan'!$F$6:$F$78,$B17,'SDE Plan'!$B$6:$B$78,"Yes",'SDE Plan'!$L$6:$L$78,"Done"),2,1),""))</f>
        <v/>
      </c>
      <c r="AP17" s="86" t="str">
        <f aca="false">IF($C17="","",IF(AND(AP$5&gt;=$C17,AP$5&lt;=$D17),IF(AP$5&lt;$C17+COUNTIFS('SDE Plan'!$F$6:$F$78,$B17,'SDE Plan'!$B$6:$B$78,"Yes",'SDE Plan'!$L$6:$L$78,"Done"),2,1),""))</f>
        <v/>
      </c>
      <c r="AQ17" s="86" t="str">
        <f aca="false">IF($C17="","",IF(AND(AQ$5&gt;=$C17,AQ$5&lt;=$D17),IF(AQ$5&lt;$C17+COUNTIFS('SDE Plan'!$F$6:$F$78,$B17,'SDE Plan'!$B$6:$B$78,"Yes",'SDE Plan'!$L$6:$L$78,"Done"),2,1),""))</f>
        <v/>
      </c>
    </row>
    <row r="18" customFormat="false" ht="18" hidden="false" customHeight="true" outlineLevel="0" collapsed="false">
      <c r="A18" s="84" t="s">
        <v>19</v>
      </c>
      <c r="B18" s="91" t="s">
        <v>107</v>
      </c>
      <c r="C18" s="84" t="n">
        <f aca="false">IF(COUNTIFS('SDE Plan'!$F$6:$F$78,$B18,'SDE Plan'!$B$6:$B$78,"Yes")=0,"",_xlfn.MINIFS('SDE Plan'!$A$6:$A$78,'SDE Plan'!$F$6:$F$78,$B18,'SDE Plan'!$B$6:$B$78,"Yes"))</f>
        <v>25</v>
      </c>
      <c r="D18" s="84" t="n">
        <f aca="false">IF(COUNTIFS('SDE Plan'!$F$6:$F$78,$B18,'SDE Plan'!$B$6:$B$78,"Yes")=0,"",_xlfn.MAXIFS('SDE Plan'!$A$6:$A$78,'SDE Plan'!$F$6:$F$78,$B18,'SDE Plan'!$B$6:$B$78,"Yes"))</f>
        <v>27</v>
      </c>
      <c r="E18" s="86" t="str">
        <f aca="false">IF($C18="","",IF(AND(E$5&gt;=$C18,E$5&lt;=$D18),IF(E$5&lt;$C18+COUNTIFS('SDE Plan'!$F$6:$F$78,$B18,'SDE Plan'!$B$6:$B$78,"Yes",'SDE Plan'!$L$6:$L$78,"Done"),2,1),""))</f>
        <v/>
      </c>
      <c r="F18" s="86" t="str">
        <f aca="false">IF($C18="","",IF(AND(F$5&gt;=$C18,F$5&lt;=$D18),IF(F$5&lt;$C18+COUNTIFS('SDE Plan'!$F$6:$F$78,$B18,'SDE Plan'!$B$6:$B$78,"Yes",'SDE Plan'!$L$6:$L$78,"Done"),2,1),""))</f>
        <v/>
      </c>
      <c r="G18" s="86" t="str">
        <f aca="false">IF($C18="","",IF(AND(G$5&gt;=$C18,G$5&lt;=$D18),IF(G$5&lt;$C18+COUNTIFS('SDE Plan'!$F$6:$F$78,$B18,'SDE Plan'!$B$6:$B$78,"Yes",'SDE Plan'!$L$6:$L$78,"Done"),2,1),""))</f>
        <v/>
      </c>
      <c r="H18" s="86" t="str">
        <f aca="false">IF($C18="","",IF(AND(H$5&gt;=$C18,H$5&lt;=$D18),IF(H$5&lt;$C18+COUNTIFS('SDE Plan'!$F$6:$F$78,$B18,'SDE Plan'!$B$6:$B$78,"Yes",'SDE Plan'!$L$6:$L$78,"Done"),2,1),""))</f>
        <v/>
      </c>
      <c r="I18" s="86" t="str">
        <f aca="false">IF($C18="","",IF(AND(I$5&gt;=$C18,I$5&lt;=$D18),IF(I$5&lt;$C18+COUNTIFS('SDE Plan'!$F$6:$F$78,$B18,'SDE Plan'!$B$6:$B$78,"Yes",'SDE Plan'!$L$6:$L$78,"Done"),2,1),""))</f>
        <v/>
      </c>
      <c r="J18" s="86" t="str">
        <f aca="false">IF($C18="","",IF(AND(J$5&gt;=$C18,J$5&lt;=$D18),IF(J$5&lt;$C18+COUNTIFS('SDE Plan'!$F$6:$F$78,$B18,'SDE Plan'!$B$6:$B$78,"Yes",'SDE Plan'!$L$6:$L$78,"Done"),2,1),""))</f>
        <v/>
      </c>
      <c r="K18" s="86" t="str">
        <f aca="false">IF($C18="","",IF(AND(K$5&gt;=$C18,K$5&lt;=$D18),IF(K$5&lt;$C18+COUNTIFS('SDE Plan'!$F$6:$F$78,$B18,'SDE Plan'!$B$6:$B$78,"Yes",'SDE Plan'!$L$6:$L$78,"Done"),2,1),""))</f>
        <v/>
      </c>
      <c r="L18" s="86" t="str">
        <f aca="false">IF($C18="","",IF(AND(L$5&gt;=$C18,L$5&lt;=$D18),IF(L$5&lt;$C18+COUNTIFS('SDE Plan'!$F$6:$F$78,$B18,'SDE Plan'!$B$6:$B$78,"Yes",'SDE Plan'!$L$6:$L$78,"Done"),2,1),""))</f>
        <v/>
      </c>
      <c r="M18" s="86" t="str">
        <f aca="false">IF($C18="","",IF(AND(M$5&gt;=$C18,M$5&lt;=$D18),IF(M$5&lt;$C18+COUNTIFS('SDE Plan'!$F$6:$F$78,$B18,'SDE Plan'!$B$6:$B$78,"Yes",'SDE Plan'!$L$6:$L$78,"Done"),2,1),""))</f>
        <v/>
      </c>
      <c r="N18" s="86" t="str">
        <f aca="false">IF($C18="","",IF(AND(N$5&gt;=$C18,N$5&lt;=$D18),IF(N$5&lt;$C18+COUNTIFS('SDE Plan'!$F$6:$F$78,$B18,'SDE Plan'!$B$6:$B$78,"Yes",'SDE Plan'!$L$6:$L$78,"Done"),2,1),""))</f>
        <v/>
      </c>
      <c r="O18" s="86" t="str">
        <f aca="false">IF($C18="","",IF(AND(O$5&gt;=$C18,O$5&lt;=$D18),IF(O$5&lt;$C18+COUNTIFS('SDE Plan'!$F$6:$F$78,$B18,'SDE Plan'!$B$6:$B$78,"Yes",'SDE Plan'!$L$6:$L$78,"Done"),2,1),""))</f>
        <v/>
      </c>
      <c r="P18" s="86" t="str">
        <f aca="false">IF($C18="","",IF(AND(P$5&gt;=$C18,P$5&lt;=$D18),IF(P$5&lt;$C18+COUNTIFS('SDE Plan'!$F$6:$F$78,$B18,'SDE Plan'!$B$6:$B$78,"Yes",'SDE Plan'!$L$6:$L$78,"Done"),2,1),""))</f>
        <v/>
      </c>
      <c r="Q18" s="86" t="str">
        <f aca="false">IF($C18="","",IF(AND(Q$5&gt;=$C18,Q$5&lt;=$D18),IF(Q$5&lt;$C18+COUNTIFS('SDE Plan'!$F$6:$F$78,$B18,'SDE Plan'!$B$6:$B$78,"Yes",'SDE Plan'!$L$6:$L$78,"Done"),2,1),""))</f>
        <v/>
      </c>
      <c r="R18" s="86" t="str">
        <f aca="false">IF($C18="","",IF(AND(R$5&gt;=$C18,R$5&lt;=$D18),IF(R$5&lt;$C18+COUNTIFS('SDE Plan'!$F$6:$F$78,$B18,'SDE Plan'!$B$6:$B$78,"Yes",'SDE Plan'!$L$6:$L$78,"Done"),2,1),""))</f>
        <v/>
      </c>
      <c r="S18" s="86" t="str">
        <f aca="false">IF($C18="","",IF(AND(S$5&gt;=$C18,S$5&lt;=$D18),IF(S$5&lt;$C18+COUNTIFS('SDE Plan'!$F$6:$F$78,$B18,'SDE Plan'!$B$6:$B$78,"Yes",'SDE Plan'!$L$6:$L$78,"Done"),2,1),""))</f>
        <v/>
      </c>
      <c r="T18" s="86" t="str">
        <f aca="false">IF($C18="","",IF(AND(T$5&gt;=$C18,T$5&lt;=$D18),IF(T$5&lt;$C18+COUNTIFS('SDE Plan'!$F$6:$F$78,$B18,'SDE Plan'!$B$6:$B$78,"Yes",'SDE Plan'!$L$6:$L$78,"Done"),2,1),""))</f>
        <v/>
      </c>
      <c r="U18" s="86" t="str">
        <f aca="false">IF($C18="","",IF(AND(U$5&gt;=$C18,U$5&lt;=$D18),IF(U$5&lt;$C18+COUNTIFS('SDE Plan'!$F$6:$F$78,$B18,'SDE Plan'!$B$6:$B$78,"Yes",'SDE Plan'!$L$6:$L$78,"Done"),2,1),""))</f>
        <v/>
      </c>
      <c r="V18" s="86" t="str">
        <f aca="false">IF($C18="","",IF(AND(V$5&gt;=$C18,V$5&lt;=$D18),IF(V$5&lt;$C18+COUNTIFS('SDE Plan'!$F$6:$F$78,$B18,'SDE Plan'!$B$6:$B$78,"Yes",'SDE Plan'!$L$6:$L$78,"Done"),2,1),""))</f>
        <v/>
      </c>
      <c r="W18" s="86" t="str">
        <f aca="false">IF($C18="","",IF(AND(W$5&gt;=$C18,W$5&lt;=$D18),IF(W$5&lt;$C18+COUNTIFS('SDE Plan'!$F$6:$F$78,$B18,'SDE Plan'!$B$6:$B$78,"Yes",'SDE Plan'!$L$6:$L$78,"Done"),2,1),""))</f>
        <v/>
      </c>
      <c r="X18" s="86" t="str">
        <f aca="false">IF($C18="","",IF(AND(X$5&gt;=$C18,X$5&lt;=$D18),IF(X$5&lt;$C18+COUNTIFS('SDE Plan'!$F$6:$F$78,$B18,'SDE Plan'!$B$6:$B$78,"Yes",'SDE Plan'!$L$6:$L$78,"Done"),2,1),""))</f>
        <v/>
      </c>
      <c r="Y18" s="86" t="str">
        <f aca="false">IF($C18="","",IF(AND(Y$5&gt;=$C18,Y$5&lt;=$D18),IF(Y$5&lt;$C18+COUNTIFS('SDE Plan'!$F$6:$F$78,$B18,'SDE Plan'!$B$6:$B$78,"Yes",'SDE Plan'!$L$6:$L$78,"Done"),2,1),""))</f>
        <v/>
      </c>
      <c r="Z18" s="86" t="str">
        <f aca="false">IF($C18="","",IF(AND(Z$5&gt;=$C18,Z$5&lt;=$D18),IF(Z$5&lt;$C18+COUNTIFS('SDE Plan'!$F$6:$F$78,$B18,'SDE Plan'!$B$6:$B$78,"Yes",'SDE Plan'!$L$6:$L$78,"Done"),2,1),""))</f>
        <v/>
      </c>
      <c r="AA18" s="86" t="str">
        <f aca="false">IF($C18="","",IF(AND(AA$5&gt;=$C18,AA$5&lt;=$D18),IF(AA$5&lt;$C18+COUNTIFS('SDE Plan'!$F$6:$F$78,$B18,'SDE Plan'!$B$6:$B$78,"Yes",'SDE Plan'!$L$6:$L$78,"Done"),2,1),""))</f>
        <v/>
      </c>
      <c r="AB18" s="86" t="str">
        <f aca="false">IF($C18="","",IF(AND(AB$5&gt;=$C18,AB$5&lt;=$D18),IF(AB$5&lt;$C18+COUNTIFS('SDE Plan'!$F$6:$F$78,$B18,'SDE Plan'!$B$6:$B$78,"Yes",'SDE Plan'!$L$6:$L$78,"Done"),2,1),""))</f>
        <v/>
      </c>
      <c r="AC18" s="86" t="n">
        <f aca="false">IF($C18="","",IF(AND(AC$5&gt;=$C18,AC$5&lt;=$D18),IF(AC$5&lt;$C18+COUNTIFS('SDE Plan'!$F$6:$F$78,$B18,'SDE Plan'!$B$6:$B$78,"Yes",'SDE Plan'!$L$6:$L$78,"Done"),2,1),""))</f>
        <v>1</v>
      </c>
      <c r="AD18" s="86" t="n">
        <f aca="false">IF($C18="","",IF(AND(AD$5&gt;=$C18,AD$5&lt;=$D18),IF(AD$5&lt;$C18+COUNTIFS('SDE Plan'!$F$6:$F$78,$B18,'SDE Plan'!$B$6:$B$78,"Yes",'SDE Plan'!$L$6:$L$78,"Done"),2,1),""))</f>
        <v>1</v>
      </c>
      <c r="AE18" s="86" t="n">
        <f aca="false">IF($C18="","",IF(AND(AE$5&gt;=$C18,AE$5&lt;=$D18),IF(AE$5&lt;$C18+COUNTIFS('SDE Plan'!$F$6:$F$78,$B18,'SDE Plan'!$B$6:$B$78,"Yes",'SDE Plan'!$L$6:$L$78,"Done"),2,1),""))</f>
        <v>1</v>
      </c>
      <c r="AF18" s="86" t="str">
        <f aca="false">IF($C18="","",IF(AND(AF$5&gt;=$C18,AF$5&lt;=$D18),IF(AF$5&lt;$C18+COUNTIFS('SDE Plan'!$F$6:$F$78,$B18,'SDE Plan'!$B$6:$B$78,"Yes",'SDE Plan'!$L$6:$L$78,"Done"),2,1),""))</f>
        <v/>
      </c>
      <c r="AG18" s="86" t="str">
        <f aca="false">IF($C18="","",IF(AND(AG$5&gt;=$C18,AG$5&lt;=$D18),IF(AG$5&lt;$C18+COUNTIFS('SDE Plan'!$F$6:$F$78,$B18,'SDE Plan'!$B$6:$B$78,"Yes",'SDE Plan'!$L$6:$L$78,"Done"),2,1),""))</f>
        <v/>
      </c>
      <c r="AH18" s="86" t="str">
        <f aca="false">IF($C18="","",IF(AND(AH$5&gt;=$C18,AH$5&lt;=$D18),IF(AH$5&lt;$C18+COUNTIFS('SDE Plan'!$F$6:$F$78,$B18,'SDE Plan'!$B$6:$B$78,"Yes",'SDE Plan'!$L$6:$L$78,"Done"),2,1),""))</f>
        <v/>
      </c>
      <c r="AI18" s="86" t="str">
        <f aca="false">IF($C18="","",IF(AND(AI$5&gt;=$C18,AI$5&lt;=$D18),IF(AI$5&lt;$C18+COUNTIFS('SDE Plan'!$F$6:$F$78,$B18,'SDE Plan'!$B$6:$B$78,"Yes",'SDE Plan'!$L$6:$L$78,"Done"),2,1),""))</f>
        <v/>
      </c>
      <c r="AJ18" s="86" t="str">
        <f aca="false">IF($C18="","",IF(AND(AJ$5&gt;=$C18,AJ$5&lt;=$D18),IF(AJ$5&lt;$C18+COUNTIFS('SDE Plan'!$F$6:$F$78,$B18,'SDE Plan'!$B$6:$B$78,"Yes",'SDE Plan'!$L$6:$L$78,"Done"),2,1),""))</f>
        <v/>
      </c>
      <c r="AK18" s="86" t="str">
        <f aca="false">IF($C18="","",IF(AND(AK$5&gt;=$C18,AK$5&lt;=$D18),IF(AK$5&lt;$C18+COUNTIFS('SDE Plan'!$F$6:$F$78,$B18,'SDE Plan'!$B$6:$B$78,"Yes",'SDE Plan'!$L$6:$L$78,"Done"),2,1),""))</f>
        <v/>
      </c>
      <c r="AL18" s="86" t="str">
        <f aca="false">IF($C18="","",IF(AND(AL$5&gt;=$C18,AL$5&lt;=$D18),IF(AL$5&lt;$C18+COUNTIFS('SDE Plan'!$F$6:$F$78,$B18,'SDE Plan'!$B$6:$B$78,"Yes",'SDE Plan'!$L$6:$L$78,"Done"),2,1),""))</f>
        <v/>
      </c>
      <c r="AM18" s="86" t="str">
        <f aca="false">IF($C18="","",IF(AND(AM$5&gt;=$C18,AM$5&lt;=$D18),IF(AM$5&lt;$C18+COUNTIFS('SDE Plan'!$F$6:$F$78,$B18,'SDE Plan'!$B$6:$B$78,"Yes",'SDE Plan'!$L$6:$L$78,"Done"),2,1),""))</f>
        <v/>
      </c>
      <c r="AN18" s="86" t="str">
        <f aca="false">IF($C18="","",IF(AND(AN$5&gt;=$C18,AN$5&lt;=$D18),IF(AN$5&lt;$C18+COUNTIFS('SDE Plan'!$F$6:$F$78,$B18,'SDE Plan'!$B$6:$B$78,"Yes",'SDE Plan'!$L$6:$L$78,"Done"),2,1),""))</f>
        <v/>
      </c>
      <c r="AO18" s="86" t="str">
        <f aca="false">IF($C18="","",IF(AND(AO$5&gt;=$C18,AO$5&lt;=$D18),IF(AO$5&lt;$C18+COUNTIFS('SDE Plan'!$F$6:$F$78,$B18,'SDE Plan'!$B$6:$B$78,"Yes",'SDE Plan'!$L$6:$L$78,"Done"),2,1),""))</f>
        <v/>
      </c>
      <c r="AP18" s="86" t="str">
        <f aca="false">IF($C18="","",IF(AND(AP$5&gt;=$C18,AP$5&lt;=$D18),IF(AP$5&lt;$C18+COUNTIFS('SDE Plan'!$F$6:$F$78,$B18,'SDE Plan'!$B$6:$B$78,"Yes",'SDE Plan'!$L$6:$L$78,"Done"),2,1),""))</f>
        <v/>
      </c>
      <c r="AQ18" s="86" t="str">
        <f aca="false">IF($C18="","",IF(AND(AQ$5&gt;=$C18,AQ$5&lt;=$D18),IF(AQ$5&lt;$C18+COUNTIFS('SDE Plan'!$F$6:$F$78,$B18,'SDE Plan'!$B$6:$B$78,"Yes",'SDE Plan'!$L$6:$L$78,"Done"),2,1),""))</f>
        <v/>
      </c>
    </row>
    <row r="19" customFormat="false" ht="18" hidden="false" customHeight="true" outlineLevel="0" collapsed="false">
      <c r="A19" s="84" t="s">
        <v>19</v>
      </c>
      <c r="B19" s="91" t="s">
        <v>108</v>
      </c>
      <c r="C19" s="84" t="n">
        <f aca="false">IF(COUNTIFS('SDE Plan'!$F$6:$F$78,$B19,'SDE Plan'!$B$6:$B$78,"Yes")=0,"",_xlfn.MINIFS('SDE Plan'!$A$6:$A$78,'SDE Plan'!$F$6:$F$78,$B19,'SDE Plan'!$B$6:$B$78,"Yes"))</f>
        <v>28</v>
      </c>
      <c r="D19" s="84" t="n">
        <f aca="false">IF(COUNTIFS('SDE Plan'!$F$6:$F$78,$B19,'SDE Plan'!$B$6:$B$78,"Yes")=0,"",_xlfn.MAXIFS('SDE Plan'!$A$6:$A$78,'SDE Plan'!$F$6:$F$78,$B19,'SDE Plan'!$B$6:$B$78,"Yes"))</f>
        <v>30</v>
      </c>
      <c r="E19" s="86" t="str">
        <f aca="false">IF($C19="","",IF(AND(E$5&gt;=$C19,E$5&lt;=$D19),IF(E$5&lt;$C19+COUNTIFS('SDE Plan'!$F$6:$F$78,$B19,'SDE Plan'!$B$6:$B$78,"Yes",'SDE Plan'!$L$6:$L$78,"Done"),2,1),""))</f>
        <v/>
      </c>
      <c r="F19" s="86" t="str">
        <f aca="false">IF($C19="","",IF(AND(F$5&gt;=$C19,F$5&lt;=$D19),IF(F$5&lt;$C19+COUNTIFS('SDE Plan'!$F$6:$F$78,$B19,'SDE Plan'!$B$6:$B$78,"Yes",'SDE Plan'!$L$6:$L$78,"Done"),2,1),""))</f>
        <v/>
      </c>
      <c r="G19" s="86" t="str">
        <f aca="false">IF($C19="","",IF(AND(G$5&gt;=$C19,G$5&lt;=$D19),IF(G$5&lt;$C19+COUNTIFS('SDE Plan'!$F$6:$F$78,$B19,'SDE Plan'!$B$6:$B$78,"Yes",'SDE Plan'!$L$6:$L$78,"Done"),2,1),""))</f>
        <v/>
      </c>
      <c r="H19" s="86" t="str">
        <f aca="false">IF($C19="","",IF(AND(H$5&gt;=$C19,H$5&lt;=$D19),IF(H$5&lt;$C19+COUNTIFS('SDE Plan'!$F$6:$F$78,$B19,'SDE Plan'!$B$6:$B$78,"Yes",'SDE Plan'!$L$6:$L$78,"Done"),2,1),""))</f>
        <v/>
      </c>
      <c r="I19" s="86" t="str">
        <f aca="false">IF($C19="","",IF(AND(I$5&gt;=$C19,I$5&lt;=$D19),IF(I$5&lt;$C19+COUNTIFS('SDE Plan'!$F$6:$F$78,$B19,'SDE Plan'!$B$6:$B$78,"Yes",'SDE Plan'!$L$6:$L$78,"Done"),2,1),""))</f>
        <v/>
      </c>
      <c r="J19" s="86" t="str">
        <f aca="false">IF($C19="","",IF(AND(J$5&gt;=$C19,J$5&lt;=$D19),IF(J$5&lt;$C19+COUNTIFS('SDE Plan'!$F$6:$F$78,$B19,'SDE Plan'!$B$6:$B$78,"Yes",'SDE Plan'!$L$6:$L$78,"Done"),2,1),""))</f>
        <v/>
      </c>
      <c r="K19" s="86" t="str">
        <f aca="false">IF($C19="","",IF(AND(K$5&gt;=$C19,K$5&lt;=$D19),IF(K$5&lt;$C19+COUNTIFS('SDE Plan'!$F$6:$F$78,$B19,'SDE Plan'!$B$6:$B$78,"Yes",'SDE Plan'!$L$6:$L$78,"Done"),2,1),""))</f>
        <v/>
      </c>
      <c r="L19" s="86" t="str">
        <f aca="false">IF($C19="","",IF(AND(L$5&gt;=$C19,L$5&lt;=$D19),IF(L$5&lt;$C19+COUNTIFS('SDE Plan'!$F$6:$F$78,$B19,'SDE Plan'!$B$6:$B$78,"Yes",'SDE Plan'!$L$6:$L$78,"Done"),2,1),""))</f>
        <v/>
      </c>
      <c r="M19" s="86" t="str">
        <f aca="false">IF($C19="","",IF(AND(M$5&gt;=$C19,M$5&lt;=$D19),IF(M$5&lt;$C19+COUNTIFS('SDE Plan'!$F$6:$F$78,$B19,'SDE Plan'!$B$6:$B$78,"Yes",'SDE Plan'!$L$6:$L$78,"Done"),2,1),""))</f>
        <v/>
      </c>
      <c r="N19" s="86" t="str">
        <f aca="false">IF($C19="","",IF(AND(N$5&gt;=$C19,N$5&lt;=$D19),IF(N$5&lt;$C19+COUNTIFS('SDE Plan'!$F$6:$F$78,$B19,'SDE Plan'!$B$6:$B$78,"Yes",'SDE Plan'!$L$6:$L$78,"Done"),2,1),""))</f>
        <v/>
      </c>
      <c r="O19" s="86" t="str">
        <f aca="false">IF($C19="","",IF(AND(O$5&gt;=$C19,O$5&lt;=$D19),IF(O$5&lt;$C19+COUNTIFS('SDE Plan'!$F$6:$F$78,$B19,'SDE Plan'!$B$6:$B$78,"Yes",'SDE Plan'!$L$6:$L$78,"Done"),2,1),""))</f>
        <v/>
      </c>
      <c r="P19" s="86" t="str">
        <f aca="false">IF($C19="","",IF(AND(P$5&gt;=$C19,P$5&lt;=$D19),IF(P$5&lt;$C19+COUNTIFS('SDE Plan'!$F$6:$F$78,$B19,'SDE Plan'!$B$6:$B$78,"Yes",'SDE Plan'!$L$6:$L$78,"Done"),2,1),""))</f>
        <v/>
      </c>
      <c r="Q19" s="86" t="str">
        <f aca="false">IF($C19="","",IF(AND(Q$5&gt;=$C19,Q$5&lt;=$D19),IF(Q$5&lt;$C19+COUNTIFS('SDE Plan'!$F$6:$F$78,$B19,'SDE Plan'!$B$6:$B$78,"Yes",'SDE Plan'!$L$6:$L$78,"Done"),2,1),""))</f>
        <v/>
      </c>
      <c r="R19" s="86" t="str">
        <f aca="false">IF($C19="","",IF(AND(R$5&gt;=$C19,R$5&lt;=$D19),IF(R$5&lt;$C19+COUNTIFS('SDE Plan'!$F$6:$F$78,$B19,'SDE Plan'!$B$6:$B$78,"Yes",'SDE Plan'!$L$6:$L$78,"Done"),2,1),""))</f>
        <v/>
      </c>
      <c r="S19" s="86" t="str">
        <f aca="false">IF($C19="","",IF(AND(S$5&gt;=$C19,S$5&lt;=$D19),IF(S$5&lt;$C19+COUNTIFS('SDE Plan'!$F$6:$F$78,$B19,'SDE Plan'!$B$6:$B$78,"Yes",'SDE Plan'!$L$6:$L$78,"Done"),2,1),""))</f>
        <v/>
      </c>
      <c r="T19" s="86" t="str">
        <f aca="false">IF($C19="","",IF(AND(T$5&gt;=$C19,T$5&lt;=$D19),IF(T$5&lt;$C19+COUNTIFS('SDE Plan'!$F$6:$F$78,$B19,'SDE Plan'!$B$6:$B$78,"Yes",'SDE Plan'!$L$6:$L$78,"Done"),2,1),""))</f>
        <v/>
      </c>
      <c r="U19" s="86" t="str">
        <f aca="false">IF($C19="","",IF(AND(U$5&gt;=$C19,U$5&lt;=$D19),IF(U$5&lt;$C19+COUNTIFS('SDE Plan'!$F$6:$F$78,$B19,'SDE Plan'!$B$6:$B$78,"Yes",'SDE Plan'!$L$6:$L$78,"Done"),2,1),""))</f>
        <v/>
      </c>
      <c r="V19" s="86" t="str">
        <f aca="false">IF($C19="","",IF(AND(V$5&gt;=$C19,V$5&lt;=$D19),IF(V$5&lt;$C19+COUNTIFS('SDE Plan'!$F$6:$F$78,$B19,'SDE Plan'!$B$6:$B$78,"Yes",'SDE Plan'!$L$6:$L$78,"Done"),2,1),""))</f>
        <v/>
      </c>
      <c r="W19" s="86" t="str">
        <f aca="false">IF($C19="","",IF(AND(W$5&gt;=$C19,W$5&lt;=$D19),IF(W$5&lt;$C19+COUNTIFS('SDE Plan'!$F$6:$F$78,$B19,'SDE Plan'!$B$6:$B$78,"Yes",'SDE Plan'!$L$6:$L$78,"Done"),2,1),""))</f>
        <v/>
      </c>
      <c r="X19" s="86" t="str">
        <f aca="false">IF($C19="","",IF(AND(X$5&gt;=$C19,X$5&lt;=$D19),IF(X$5&lt;$C19+COUNTIFS('SDE Plan'!$F$6:$F$78,$B19,'SDE Plan'!$B$6:$B$78,"Yes",'SDE Plan'!$L$6:$L$78,"Done"),2,1),""))</f>
        <v/>
      </c>
      <c r="Y19" s="86" t="str">
        <f aca="false">IF($C19="","",IF(AND(Y$5&gt;=$C19,Y$5&lt;=$D19),IF(Y$5&lt;$C19+COUNTIFS('SDE Plan'!$F$6:$F$78,$B19,'SDE Plan'!$B$6:$B$78,"Yes",'SDE Plan'!$L$6:$L$78,"Done"),2,1),""))</f>
        <v/>
      </c>
      <c r="Z19" s="86" t="str">
        <f aca="false">IF($C19="","",IF(AND(Z$5&gt;=$C19,Z$5&lt;=$D19),IF(Z$5&lt;$C19+COUNTIFS('SDE Plan'!$F$6:$F$78,$B19,'SDE Plan'!$B$6:$B$78,"Yes",'SDE Plan'!$L$6:$L$78,"Done"),2,1),""))</f>
        <v/>
      </c>
      <c r="AA19" s="86" t="str">
        <f aca="false">IF($C19="","",IF(AND(AA$5&gt;=$C19,AA$5&lt;=$D19),IF(AA$5&lt;$C19+COUNTIFS('SDE Plan'!$F$6:$F$78,$B19,'SDE Plan'!$B$6:$B$78,"Yes",'SDE Plan'!$L$6:$L$78,"Done"),2,1),""))</f>
        <v/>
      </c>
      <c r="AB19" s="86" t="str">
        <f aca="false">IF($C19="","",IF(AND(AB$5&gt;=$C19,AB$5&lt;=$D19),IF(AB$5&lt;$C19+COUNTIFS('SDE Plan'!$F$6:$F$78,$B19,'SDE Plan'!$B$6:$B$78,"Yes",'SDE Plan'!$L$6:$L$78,"Done"),2,1),""))</f>
        <v/>
      </c>
      <c r="AC19" s="86" t="str">
        <f aca="false">IF($C19="","",IF(AND(AC$5&gt;=$C19,AC$5&lt;=$D19),IF(AC$5&lt;$C19+COUNTIFS('SDE Plan'!$F$6:$F$78,$B19,'SDE Plan'!$B$6:$B$78,"Yes",'SDE Plan'!$L$6:$L$78,"Done"),2,1),""))</f>
        <v/>
      </c>
      <c r="AD19" s="86" t="str">
        <f aca="false">IF($C19="","",IF(AND(AD$5&gt;=$C19,AD$5&lt;=$D19),IF(AD$5&lt;$C19+COUNTIFS('SDE Plan'!$F$6:$F$78,$B19,'SDE Plan'!$B$6:$B$78,"Yes",'SDE Plan'!$L$6:$L$78,"Done"),2,1),""))</f>
        <v/>
      </c>
      <c r="AE19" s="86" t="str">
        <f aca="false">IF($C19="","",IF(AND(AE$5&gt;=$C19,AE$5&lt;=$D19),IF(AE$5&lt;$C19+COUNTIFS('SDE Plan'!$F$6:$F$78,$B19,'SDE Plan'!$B$6:$B$78,"Yes",'SDE Plan'!$L$6:$L$78,"Done"),2,1),""))</f>
        <v/>
      </c>
      <c r="AF19" s="86" t="n">
        <f aca="false">IF($C19="","",IF(AND(AF$5&gt;=$C19,AF$5&lt;=$D19),IF(AF$5&lt;$C19+COUNTIFS('SDE Plan'!$F$6:$F$78,$B19,'SDE Plan'!$B$6:$B$78,"Yes",'SDE Plan'!$L$6:$L$78,"Done"),2,1),""))</f>
        <v>1</v>
      </c>
      <c r="AG19" s="86" t="n">
        <f aca="false">IF($C19="","",IF(AND(AG$5&gt;=$C19,AG$5&lt;=$D19),IF(AG$5&lt;$C19+COUNTIFS('SDE Plan'!$F$6:$F$78,$B19,'SDE Plan'!$B$6:$B$78,"Yes",'SDE Plan'!$L$6:$L$78,"Done"),2,1),""))</f>
        <v>1</v>
      </c>
      <c r="AH19" s="86" t="n">
        <f aca="false">IF($C19="","",IF(AND(AH$5&gt;=$C19,AH$5&lt;=$D19),IF(AH$5&lt;$C19+COUNTIFS('SDE Plan'!$F$6:$F$78,$B19,'SDE Plan'!$B$6:$B$78,"Yes",'SDE Plan'!$L$6:$L$78,"Done"),2,1),""))</f>
        <v>1</v>
      </c>
      <c r="AI19" s="86" t="str">
        <f aca="false">IF($C19="","",IF(AND(AI$5&gt;=$C19,AI$5&lt;=$D19),IF(AI$5&lt;$C19+COUNTIFS('SDE Plan'!$F$6:$F$78,$B19,'SDE Plan'!$B$6:$B$78,"Yes",'SDE Plan'!$L$6:$L$78,"Done"),2,1),""))</f>
        <v/>
      </c>
      <c r="AJ19" s="86" t="str">
        <f aca="false">IF($C19="","",IF(AND(AJ$5&gt;=$C19,AJ$5&lt;=$D19),IF(AJ$5&lt;$C19+COUNTIFS('SDE Plan'!$F$6:$F$78,$B19,'SDE Plan'!$B$6:$B$78,"Yes",'SDE Plan'!$L$6:$L$78,"Done"),2,1),""))</f>
        <v/>
      </c>
      <c r="AK19" s="86" t="str">
        <f aca="false">IF($C19="","",IF(AND(AK$5&gt;=$C19,AK$5&lt;=$D19),IF(AK$5&lt;$C19+COUNTIFS('SDE Plan'!$F$6:$F$78,$B19,'SDE Plan'!$B$6:$B$78,"Yes",'SDE Plan'!$L$6:$L$78,"Done"),2,1),""))</f>
        <v/>
      </c>
      <c r="AL19" s="86" t="str">
        <f aca="false">IF($C19="","",IF(AND(AL$5&gt;=$C19,AL$5&lt;=$D19),IF(AL$5&lt;$C19+COUNTIFS('SDE Plan'!$F$6:$F$78,$B19,'SDE Plan'!$B$6:$B$78,"Yes",'SDE Plan'!$L$6:$L$78,"Done"),2,1),""))</f>
        <v/>
      </c>
      <c r="AM19" s="86" t="str">
        <f aca="false">IF($C19="","",IF(AND(AM$5&gt;=$C19,AM$5&lt;=$D19),IF(AM$5&lt;$C19+COUNTIFS('SDE Plan'!$F$6:$F$78,$B19,'SDE Plan'!$B$6:$B$78,"Yes",'SDE Plan'!$L$6:$L$78,"Done"),2,1),""))</f>
        <v/>
      </c>
      <c r="AN19" s="86" t="str">
        <f aca="false">IF($C19="","",IF(AND(AN$5&gt;=$C19,AN$5&lt;=$D19),IF(AN$5&lt;$C19+COUNTIFS('SDE Plan'!$F$6:$F$78,$B19,'SDE Plan'!$B$6:$B$78,"Yes",'SDE Plan'!$L$6:$L$78,"Done"),2,1),""))</f>
        <v/>
      </c>
      <c r="AO19" s="86" t="str">
        <f aca="false">IF($C19="","",IF(AND(AO$5&gt;=$C19,AO$5&lt;=$D19),IF(AO$5&lt;$C19+COUNTIFS('SDE Plan'!$F$6:$F$78,$B19,'SDE Plan'!$B$6:$B$78,"Yes",'SDE Plan'!$L$6:$L$78,"Done"),2,1),""))</f>
        <v/>
      </c>
      <c r="AP19" s="86" t="str">
        <f aca="false">IF($C19="","",IF(AND(AP$5&gt;=$C19,AP$5&lt;=$D19),IF(AP$5&lt;$C19+COUNTIFS('SDE Plan'!$F$6:$F$78,$B19,'SDE Plan'!$B$6:$B$78,"Yes",'SDE Plan'!$L$6:$L$78,"Done"),2,1),""))</f>
        <v/>
      </c>
      <c r="AQ19" s="86" t="str">
        <f aca="false">IF($C19="","",IF(AND(AQ$5&gt;=$C19,AQ$5&lt;=$D19),IF(AQ$5&lt;$C19+COUNTIFS('SDE Plan'!$F$6:$F$78,$B19,'SDE Plan'!$B$6:$B$78,"Yes",'SDE Plan'!$L$6:$L$78,"Done"),2,1),""))</f>
        <v/>
      </c>
    </row>
    <row r="20" customFormat="false" ht="18" hidden="false" customHeight="true" outlineLevel="0" collapsed="false">
      <c r="A20" s="84" t="s">
        <v>19</v>
      </c>
      <c r="B20" s="91" t="s">
        <v>109</v>
      </c>
      <c r="C20" s="84" t="n">
        <f aca="false">IF(COUNTIFS('SDE Plan'!$F$6:$F$78,$B20,'SDE Plan'!$B$6:$B$78,"Yes")=0,"",_xlfn.MINIFS('SDE Plan'!$A$6:$A$78,'SDE Plan'!$F$6:$F$78,$B20,'SDE Plan'!$B$6:$B$78,"Yes"))</f>
        <v>31</v>
      </c>
      <c r="D20" s="84" t="n">
        <f aca="false">IF(COUNTIFS('SDE Plan'!$F$6:$F$78,$B20,'SDE Plan'!$B$6:$B$78,"Yes")=0,"",_xlfn.MAXIFS('SDE Plan'!$A$6:$A$78,'SDE Plan'!$F$6:$F$78,$B20,'SDE Plan'!$B$6:$B$78,"Yes"))</f>
        <v>33</v>
      </c>
      <c r="E20" s="86" t="str">
        <f aca="false">IF($C20="","",IF(AND(E$5&gt;=$C20,E$5&lt;=$D20),IF(E$5&lt;$C20+COUNTIFS('SDE Plan'!$F$6:$F$78,$B20,'SDE Plan'!$B$6:$B$78,"Yes",'SDE Plan'!$L$6:$L$78,"Done"),2,1),""))</f>
        <v/>
      </c>
      <c r="F20" s="86" t="str">
        <f aca="false">IF($C20="","",IF(AND(F$5&gt;=$C20,F$5&lt;=$D20),IF(F$5&lt;$C20+COUNTIFS('SDE Plan'!$F$6:$F$78,$B20,'SDE Plan'!$B$6:$B$78,"Yes",'SDE Plan'!$L$6:$L$78,"Done"),2,1),""))</f>
        <v/>
      </c>
      <c r="G20" s="86" t="str">
        <f aca="false">IF($C20="","",IF(AND(G$5&gt;=$C20,G$5&lt;=$D20),IF(G$5&lt;$C20+COUNTIFS('SDE Plan'!$F$6:$F$78,$B20,'SDE Plan'!$B$6:$B$78,"Yes",'SDE Plan'!$L$6:$L$78,"Done"),2,1),""))</f>
        <v/>
      </c>
      <c r="H20" s="86" t="str">
        <f aca="false">IF($C20="","",IF(AND(H$5&gt;=$C20,H$5&lt;=$D20),IF(H$5&lt;$C20+COUNTIFS('SDE Plan'!$F$6:$F$78,$B20,'SDE Plan'!$B$6:$B$78,"Yes",'SDE Plan'!$L$6:$L$78,"Done"),2,1),""))</f>
        <v/>
      </c>
      <c r="I20" s="86" t="str">
        <f aca="false">IF($C20="","",IF(AND(I$5&gt;=$C20,I$5&lt;=$D20),IF(I$5&lt;$C20+COUNTIFS('SDE Plan'!$F$6:$F$78,$B20,'SDE Plan'!$B$6:$B$78,"Yes",'SDE Plan'!$L$6:$L$78,"Done"),2,1),""))</f>
        <v/>
      </c>
      <c r="J20" s="86" t="str">
        <f aca="false">IF($C20="","",IF(AND(J$5&gt;=$C20,J$5&lt;=$D20),IF(J$5&lt;$C20+COUNTIFS('SDE Plan'!$F$6:$F$78,$B20,'SDE Plan'!$B$6:$B$78,"Yes",'SDE Plan'!$L$6:$L$78,"Done"),2,1),""))</f>
        <v/>
      </c>
      <c r="K20" s="86" t="str">
        <f aca="false">IF($C20="","",IF(AND(K$5&gt;=$C20,K$5&lt;=$D20),IF(K$5&lt;$C20+COUNTIFS('SDE Plan'!$F$6:$F$78,$B20,'SDE Plan'!$B$6:$B$78,"Yes",'SDE Plan'!$L$6:$L$78,"Done"),2,1),""))</f>
        <v/>
      </c>
      <c r="L20" s="86" t="str">
        <f aca="false">IF($C20="","",IF(AND(L$5&gt;=$C20,L$5&lt;=$D20),IF(L$5&lt;$C20+COUNTIFS('SDE Plan'!$F$6:$F$78,$B20,'SDE Plan'!$B$6:$B$78,"Yes",'SDE Plan'!$L$6:$L$78,"Done"),2,1),""))</f>
        <v/>
      </c>
      <c r="M20" s="86" t="str">
        <f aca="false">IF($C20="","",IF(AND(M$5&gt;=$C20,M$5&lt;=$D20),IF(M$5&lt;$C20+COUNTIFS('SDE Plan'!$F$6:$F$78,$B20,'SDE Plan'!$B$6:$B$78,"Yes",'SDE Plan'!$L$6:$L$78,"Done"),2,1),""))</f>
        <v/>
      </c>
      <c r="N20" s="86" t="str">
        <f aca="false">IF($C20="","",IF(AND(N$5&gt;=$C20,N$5&lt;=$D20),IF(N$5&lt;$C20+COUNTIFS('SDE Plan'!$F$6:$F$78,$B20,'SDE Plan'!$B$6:$B$78,"Yes",'SDE Plan'!$L$6:$L$78,"Done"),2,1),""))</f>
        <v/>
      </c>
      <c r="O20" s="86" t="str">
        <f aca="false">IF($C20="","",IF(AND(O$5&gt;=$C20,O$5&lt;=$D20),IF(O$5&lt;$C20+COUNTIFS('SDE Plan'!$F$6:$F$78,$B20,'SDE Plan'!$B$6:$B$78,"Yes",'SDE Plan'!$L$6:$L$78,"Done"),2,1),""))</f>
        <v/>
      </c>
      <c r="P20" s="86" t="str">
        <f aca="false">IF($C20="","",IF(AND(P$5&gt;=$C20,P$5&lt;=$D20),IF(P$5&lt;$C20+COUNTIFS('SDE Plan'!$F$6:$F$78,$B20,'SDE Plan'!$B$6:$B$78,"Yes",'SDE Plan'!$L$6:$L$78,"Done"),2,1),""))</f>
        <v/>
      </c>
      <c r="Q20" s="86" t="str">
        <f aca="false">IF($C20="","",IF(AND(Q$5&gt;=$C20,Q$5&lt;=$D20),IF(Q$5&lt;$C20+COUNTIFS('SDE Plan'!$F$6:$F$78,$B20,'SDE Plan'!$B$6:$B$78,"Yes",'SDE Plan'!$L$6:$L$78,"Done"),2,1),""))</f>
        <v/>
      </c>
      <c r="R20" s="86" t="str">
        <f aca="false">IF($C20="","",IF(AND(R$5&gt;=$C20,R$5&lt;=$D20),IF(R$5&lt;$C20+COUNTIFS('SDE Plan'!$F$6:$F$78,$B20,'SDE Plan'!$B$6:$B$78,"Yes",'SDE Plan'!$L$6:$L$78,"Done"),2,1),""))</f>
        <v/>
      </c>
      <c r="S20" s="86" t="str">
        <f aca="false">IF($C20="","",IF(AND(S$5&gt;=$C20,S$5&lt;=$D20),IF(S$5&lt;$C20+COUNTIFS('SDE Plan'!$F$6:$F$78,$B20,'SDE Plan'!$B$6:$B$78,"Yes",'SDE Plan'!$L$6:$L$78,"Done"),2,1),""))</f>
        <v/>
      </c>
      <c r="T20" s="86" t="str">
        <f aca="false">IF($C20="","",IF(AND(T$5&gt;=$C20,T$5&lt;=$D20),IF(T$5&lt;$C20+COUNTIFS('SDE Plan'!$F$6:$F$78,$B20,'SDE Plan'!$B$6:$B$78,"Yes",'SDE Plan'!$L$6:$L$78,"Done"),2,1),""))</f>
        <v/>
      </c>
      <c r="U20" s="86" t="str">
        <f aca="false">IF($C20="","",IF(AND(U$5&gt;=$C20,U$5&lt;=$D20),IF(U$5&lt;$C20+COUNTIFS('SDE Plan'!$F$6:$F$78,$B20,'SDE Plan'!$B$6:$B$78,"Yes",'SDE Plan'!$L$6:$L$78,"Done"),2,1),""))</f>
        <v/>
      </c>
      <c r="V20" s="86" t="str">
        <f aca="false">IF($C20="","",IF(AND(V$5&gt;=$C20,V$5&lt;=$D20),IF(V$5&lt;$C20+COUNTIFS('SDE Plan'!$F$6:$F$78,$B20,'SDE Plan'!$B$6:$B$78,"Yes",'SDE Plan'!$L$6:$L$78,"Done"),2,1),""))</f>
        <v/>
      </c>
      <c r="W20" s="86" t="str">
        <f aca="false">IF($C20="","",IF(AND(W$5&gt;=$C20,W$5&lt;=$D20),IF(W$5&lt;$C20+COUNTIFS('SDE Plan'!$F$6:$F$78,$B20,'SDE Plan'!$B$6:$B$78,"Yes",'SDE Plan'!$L$6:$L$78,"Done"),2,1),""))</f>
        <v/>
      </c>
      <c r="X20" s="86" t="str">
        <f aca="false">IF($C20="","",IF(AND(X$5&gt;=$C20,X$5&lt;=$D20),IF(X$5&lt;$C20+COUNTIFS('SDE Plan'!$F$6:$F$78,$B20,'SDE Plan'!$B$6:$B$78,"Yes",'SDE Plan'!$L$6:$L$78,"Done"),2,1),""))</f>
        <v/>
      </c>
      <c r="Y20" s="86" t="str">
        <f aca="false">IF($C20="","",IF(AND(Y$5&gt;=$C20,Y$5&lt;=$D20),IF(Y$5&lt;$C20+COUNTIFS('SDE Plan'!$F$6:$F$78,$B20,'SDE Plan'!$B$6:$B$78,"Yes",'SDE Plan'!$L$6:$L$78,"Done"),2,1),""))</f>
        <v/>
      </c>
      <c r="Z20" s="86" t="str">
        <f aca="false">IF($C20="","",IF(AND(Z$5&gt;=$C20,Z$5&lt;=$D20),IF(Z$5&lt;$C20+COUNTIFS('SDE Plan'!$F$6:$F$78,$B20,'SDE Plan'!$B$6:$B$78,"Yes",'SDE Plan'!$L$6:$L$78,"Done"),2,1),""))</f>
        <v/>
      </c>
      <c r="AA20" s="86" t="str">
        <f aca="false">IF($C20="","",IF(AND(AA$5&gt;=$C20,AA$5&lt;=$D20),IF(AA$5&lt;$C20+COUNTIFS('SDE Plan'!$F$6:$F$78,$B20,'SDE Plan'!$B$6:$B$78,"Yes",'SDE Plan'!$L$6:$L$78,"Done"),2,1),""))</f>
        <v/>
      </c>
      <c r="AB20" s="86" t="str">
        <f aca="false">IF($C20="","",IF(AND(AB$5&gt;=$C20,AB$5&lt;=$D20),IF(AB$5&lt;$C20+COUNTIFS('SDE Plan'!$F$6:$F$78,$B20,'SDE Plan'!$B$6:$B$78,"Yes",'SDE Plan'!$L$6:$L$78,"Done"),2,1),""))</f>
        <v/>
      </c>
      <c r="AC20" s="86" t="str">
        <f aca="false">IF($C20="","",IF(AND(AC$5&gt;=$C20,AC$5&lt;=$D20),IF(AC$5&lt;$C20+COUNTIFS('SDE Plan'!$F$6:$F$78,$B20,'SDE Plan'!$B$6:$B$78,"Yes",'SDE Plan'!$L$6:$L$78,"Done"),2,1),""))</f>
        <v/>
      </c>
      <c r="AD20" s="86" t="str">
        <f aca="false">IF($C20="","",IF(AND(AD$5&gt;=$C20,AD$5&lt;=$D20),IF(AD$5&lt;$C20+COUNTIFS('SDE Plan'!$F$6:$F$78,$B20,'SDE Plan'!$B$6:$B$78,"Yes",'SDE Plan'!$L$6:$L$78,"Done"),2,1),""))</f>
        <v/>
      </c>
      <c r="AE20" s="86" t="str">
        <f aca="false">IF($C20="","",IF(AND(AE$5&gt;=$C20,AE$5&lt;=$D20),IF(AE$5&lt;$C20+COUNTIFS('SDE Plan'!$F$6:$F$78,$B20,'SDE Plan'!$B$6:$B$78,"Yes",'SDE Plan'!$L$6:$L$78,"Done"),2,1),""))</f>
        <v/>
      </c>
      <c r="AF20" s="86" t="str">
        <f aca="false">IF($C20="","",IF(AND(AF$5&gt;=$C20,AF$5&lt;=$D20),IF(AF$5&lt;$C20+COUNTIFS('SDE Plan'!$F$6:$F$78,$B20,'SDE Plan'!$B$6:$B$78,"Yes",'SDE Plan'!$L$6:$L$78,"Done"),2,1),""))</f>
        <v/>
      </c>
      <c r="AG20" s="86" t="str">
        <f aca="false">IF($C20="","",IF(AND(AG$5&gt;=$C20,AG$5&lt;=$D20),IF(AG$5&lt;$C20+COUNTIFS('SDE Plan'!$F$6:$F$78,$B20,'SDE Plan'!$B$6:$B$78,"Yes",'SDE Plan'!$L$6:$L$78,"Done"),2,1),""))</f>
        <v/>
      </c>
      <c r="AH20" s="86" t="str">
        <f aca="false">IF($C20="","",IF(AND(AH$5&gt;=$C20,AH$5&lt;=$D20),IF(AH$5&lt;$C20+COUNTIFS('SDE Plan'!$F$6:$F$78,$B20,'SDE Plan'!$B$6:$B$78,"Yes",'SDE Plan'!$L$6:$L$78,"Done"),2,1),""))</f>
        <v/>
      </c>
      <c r="AI20" s="86" t="n">
        <f aca="false">IF($C20="","",IF(AND(AI$5&gt;=$C20,AI$5&lt;=$D20),IF(AI$5&lt;$C20+COUNTIFS('SDE Plan'!$F$6:$F$78,$B20,'SDE Plan'!$B$6:$B$78,"Yes",'SDE Plan'!$L$6:$L$78,"Done"),2,1),""))</f>
        <v>1</v>
      </c>
      <c r="AJ20" s="86" t="n">
        <f aca="false">IF($C20="","",IF(AND(AJ$5&gt;=$C20,AJ$5&lt;=$D20),IF(AJ$5&lt;$C20+COUNTIFS('SDE Plan'!$F$6:$F$78,$B20,'SDE Plan'!$B$6:$B$78,"Yes",'SDE Plan'!$L$6:$L$78,"Done"),2,1),""))</f>
        <v>1</v>
      </c>
      <c r="AK20" s="86" t="n">
        <f aca="false">IF($C20="","",IF(AND(AK$5&gt;=$C20,AK$5&lt;=$D20),IF(AK$5&lt;$C20+COUNTIFS('SDE Plan'!$F$6:$F$78,$B20,'SDE Plan'!$B$6:$B$78,"Yes",'SDE Plan'!$L$6:$L$78,"Done"),2,1),""))</f>
        <v>1</v>
      </c>
      <c r="AL20" s="86" t="str">
        <f aca="false">IF($C20="","",IF(AND(AL$5&gt;=$C20,AL$5&lt;=$D20),IF(AL$5&lt;$C20+COUNTIFS('SDE Plan'!$F$6:$F$78,$B20,'SDE Plan'!$B$6:$B$78,"Yes",'SDE Plan'!$L$6:$L$78,"Done"),2,1),""))</f>
        <v/>
      </c>
      <c r="AM20" s="86" t="str">
        <f aca="false">IF($C20="","",IF(AND(AM$5&gt;=$C20,AM$5&lt;=$D20),IF(AM$5&lt;$C20+COUNTIFS('SDE Plan'!$F$6:$F$78,$B20,'SDE Plan'!$B$6:$B$78,"Yes",'SDE Plan'!$L$6:$L$78,"Done"),2,1),""))</f>
        <v/>
      </c>
      <c r="AN20" s="86" t="str">
        <f aca="false">IF($C20="","",IF(AND(AN$5&gt;=$C20,AN$5&lt;=$D20),IF(AN$5&lt;$C20+COUNTIFS('SDE Plan'!$F$6:$F$78,$B20,'SDE Plan'!$B$6:$B$78,"Yes",'SDE Plan'!$L$6:$L$78,"Done"),2,1),""))</f>
        <v/>
      </c>
      <c r="AO20" s="86" t="str">
        <f aca="false">IF($C20="","",IF(AND(AO$5&gt;=$C20,AO$5&lt;=$D20),IF(AO$5&lt;$C20+COUNTIFS('SDE Plan'!$F$6:$F$78,$B20,'SDE Plan'!$B$6:$B$78,"Yes",'SDE Plan'!$L$6:$L$78,"Done"),2,1),""))</f>
        <v/>
      </c>
      <c r="AP20" s="86" t="str">
        <f aca="false">IF($C20="","",IF(AND(AP$5&gt;=$C20,AP$5&lt;=$D20),IF(AP$5&lt;$C20+COUNTIFS('SDE Plan'!$F$6:$F$78,$B20,'SDE Plan'!$B$6:$B$78,"Yes",'SDE Plan'!$L$6:$L$78,"Done"),2,1),""))</f>
        <v/>
      </c>
      <c r="AQ20" s="86" t="str">
        <f aca="false">IF($C20="","",IF(AND(AQ$5&gt;=$C20,AQ$5&lt;=$D20),IF(AQ$5&lt;$C20+COUNTIFS('SDE Plan'!$F$6:$F$78,$B20,'SDE Plan'!$B$6:$B$78,"Yes",'SDE Plan'!$L$6:$L$78,"Done"),2,1),""))</f>
        <v/>
      </c>
    </row>
    <row r="21" customFormat="false" ht="18" hidden="false" customHeight="true" outlineLevel="0" collapsed="false">
      <c r="A21" s="84" t="s">
        <v>19</v>
      </c>
      <c r="B21" s="92" t="s">
        <v>110</v>
      </c>
      <c r="C21" s="84" t="n">
        <f aca="false">IF(COUNTIFS('SDE Plan'!$F$6:$F$78,$B21,'SDE Plan'!$B$6:$B$78,"Yes")=0,"",_xlfn.MINIFS('SDE Plan'!$A$6:$A$78,'SDE Plan'!$F$6:$F$78,$B21,'SDE Plan'!$B$6:$B$78,"Yes"))</f>
        <v>34</v>
      </c>
      <c r="D21" s="84" t="n">
        <f aca="false">IF(COUNTIFS('SDE Plan'!$F$6:$F$78,$B21,'SDE Plan'!$B$6:$B$78,"Yes")=0,"",_xlfn.MAXIFS('SDE Plan'!$A$6:$A$78,'SDE Plan'!$F$6:$F$78,$B21,'SDE Plan'!$B$6:$B$78,"Yes"))</f>
        <v>37</v>
      </c>
      <c r="E21" s="86" t="str">
        <f aca="false">IF($C21="","",IF(AND(E$5&gt;=$C21,E$5&lt;=$D21),IF(E$5&lt;$C21+COUNTIFS('SDE Plan'!$F$6:$F$78,$B21,'SDE Plan'!$B$6:$B$78,"Yes",'SDE Plan'!$L$6:$L$78,"Done"),2,1),""))</f>
        <v/>
      </c>
      <c r="F21" s="86" t="str">
        <f aca="false">IF($C21="","",IF(AND(F$5&gt;=$C21,F$5&lt;=$D21),IF(F$5&lt;$C21+COUNTIFS('SDE Plan'!$F$6:$F$78,$B21,'SDE Plan'!$B$6:$B$78,"Yes",'SDE Plan'!$L$6:$L$78,"Done"),2,1),""))</f>
        <v/>
      </c>
      <c r="G21" s="86" t="str">
        <f aca="false">IF($C21="","",IF(AND(G$5&gt;=$C21,G$5&lt;=$D21),IF(G$5&lt;$C21+COUNTIFS('SDE Plan'!$F$6:$F$78,$B21,'SDE Plan'!$B$6:$B$78,"Yes",'SDE Plan'!$L$6:$L$78,"Done"),2,1),""))</f>
        <v/>
      </c>
      <c r="H21" s="86" t="str">
        <f aca="false">IF($C21="","",IF(AND(H$5&gt;=$C21,H$5&lt;=$D21),IF(H$5&lt;$C21+COUNTIFS('SDE Plan'!$F$6:$F$78,$B21,'SDE Plan'!$B$6:$B$78,"Yes",'SDE Plan'!$L$6:$L$78,"Done"),2,1),""))</f>
        <v/>
      </c>
      <c r="I21" s="86" t="str">
        <f aca="false">IF($C21="","",IF(AND(I$5&gt;=$C21,I$5&lt;=$D21),IF(I$5&lt;$C21+COUNTIFS('SDE Plan'!$F$6:$F$78,$B21,'SDE Plan'!$B$6:$B$78,"Yes",'SDE Plan'!$L$6:$L$78,"Done"),2,1),""))</f>
        <v/>
      </c>
      <c r="J21" s="86" t="str">
        <f aca="false">IF($C21="","",IF(AND(J$5&gt;=$C21,J$5&lt;=$D21),IF(J$5&lt;$C21+COUNTIFS('SDE Plan'!$F$6:$F$78,$B21,'SDE Plan'!$B$6:$B$78,"Yes",'SDE Plan'!$L$6:$L$78,"Done"),2,1),""))</f>
        <v/>
      </c>
      <c r="K21" s="86" t="str">
        <f aca="false">IF($C21="","",IF(AND(K$5&gt;=$C21,K$5&lt;=$D21),IF(K$5&lt;$C21+COUNTIFS('SDE Plan'!$F$6:$F$78,$B21,'SDE Plan'!$B$6:$B$78,"Yes",'SDE Plan'!$L$6:$L$78,"Done"),2,1),""))</f>
        <v/>
      </c>
      <c r="L21" s="86" t="str">
        <f aca="false">IF($C21="","",IF(AND(L$5&gt;=$C21,L$5&lt;=$D21),IF(L$5&lt;$C21+COUNTIFS('SDE Plan'!$F$6:$F$78,$B21,'SDE Plan'!$B$6:$B$78,"Yes",'SDE Plan'!$L$6:$L$78,"Done"),2,1),""))</f>
        <v/>
      </c>
      <c r="M21" s="86" t="str">
        <f aca="false">IF($C21="","",IF(AND(M$5&gt;=$C21,M$5&lt;=$D21),IF(M$5&lt;$C21+COUNTIFS('SDE Plan'!$F$6:$F$78,$B21,'SDE Plan'!$B$6:$B$78,"Yes",'SDE Plan'!$L$6:$L$78,"Done"),2,1),""))</f>
        <v/>
      </c>
      <c r="N21" s="86" t="str">
        <f aca="false">IF($C21="","",IF(AND(N$5&gt;=$C21,N$5&lt;=$D21),IF(N$5&lt;$C21+COUNTIFS('SDE Plan'!$F$6:$F$78,$B21,'SDE Plan'!$B$6:$B$78,"Yes",'SDE Plan'!$L$6:$L$78,"Done"),2,1),""))</f>
        <v/>
      </c>
      <c r="O21" s="86" t="str">
        <f aca="false">IF($C21="","",IF(AND(O$5&gt;=$C21,O$5&lt;=$D21),IF(O$5&lt;$C21+COUNTIFS('SDE Plan'!$F$6:$F$78,$B21,'SDE Plan'!$B$6:$B$78,"Yes",'SDE Plan'!$L$6:$L$78,"Done"),2,1),""))</f>
        <v/>
      </c>
      <c r="P21" s="86" t="str">
        <f aca="false">IF($C21="","",IF(AND(P$5&gt;=$C21,P$5&lt;=$D21),IF(P$5&lt;$C21+COUNTIFS('SDE Plan'!$F$6:$F$78,$B21,'SDE Plan'!$B$6:$B$78,"Yes",'SDE Plan'!$L$6:$L$78,"Done"),2,1),""))</f>
        <v/>
      </c>
      <c r="Q21" s="86" t="str">
        <f aca="false">IF($C21="","",IF(AND(Q$5&gt;=$C21,Q$5&lt;=$D21),IF(Q$5&lt;$C21+COUNTIFS('SDE Plan'!$F$6:$F$78,$B21,'SDE Plan'!$B$6:$B$78,"Yes",'SDE Plan'!$L$6:$L$78,"Done"),2,1),""))</f>
        <v/>
      </c>
      <c r="R21" s="86" t="str">
        <f aca="false">IF($C21="","",IF(AND(R$5&gt;=$C21,R$5&lt;=$D21),IF(R$5&lt;$C21+COUNTIFS('SDE Plan'!$F$6:$F$78,$B21,'SDE Plan'!$B$6:$B$78,"Yes",'SDE Plan'!$L$6:$L$78,"Done"),2,1),""))</f>
        <v/>
      </c>
      <c r="S21" s="86" t="str">
        <f aca="false">IF($C21="","",IF(AND(S$5&gt;=$C21,S$5&lt;=$D21),IF(S$5&lt;$C21+COUNTIFS('SDE Plan'!$F$6:$F$78,$B21,'SDE Plan'!$B$6:$B$78,"Yes",'SDE Plan'!$L$6:$L$78,"Done"),2,1),""))</f>
        <v/>
      </c>
      <c r="T21" s="86" t="str">
        <f aca="false">IF($C21="","",IF(AND(T$5&gt;=$C21,T$5&lt;=$D21),IF(T$5&lt;$C21+COUNTIFS('SDE Plan'!$F$6:$F$78,$B21,'SDE Plan'!$B$6:$B$78,"Yes",'SDE Plan'!$L$6:$L$78,"Done"),2,1),""))</f>
        <v/>
      </c>
      <c r="U21" s="86" t="str">
        <f aca="false">IF($C21="","",IF(AND(U$5&gt;=$C21,U$5&lt;=$D21),IF(U$5&lt;$C21+COUNTIFS('SDE Plan'!$F$6:$F$78,$B21,'SDE Plan'!$B$6:$B$78,"Yes",'SDE Plan'!$L$6:$L$78,"Done"),2,1),""))</f>
        <v/>
      </c>
      <c r="V21" s="86" t="str">
        <f aca="false">IF($C21="","",IF(AND(V$5&gt;=$C21,V$5&lt;=$D21),IF(V$5&lt;$C21+COUNTIFS('SDE Plan'!$F$6:$F$78,$B21,'SDE Plan'!$B$6:$B$78,"Yes",'SDE Plan'!$L$6:$L$78,"Done"),2,1),""))</f>
        <v/>
      </c>
      <c r="W21" s="86" t="str">
        <f aca="false">IF($C21="","",IF(AND(W$5&gt;=$C21,W$5&lt;=$D21),IF(W$5&lt;$C21+COUNTIFS('SDE Plan'!$F$6:$F$78,$B21,'SDE Plan'!$B$6:$B$78,"Yes",'SDE Plan'!$L$6:$L$78,"Done"),2,1),""))</f>
        <v/>
      </c>
      <c r="X21" s="86" t="str">
        <f aca="false">IF($C21="","",IF(AND(X$5&gt;=$C21,X$5&lt;=$D21),IF(X$5&lt;$C21+COUNTIFS('SDE Plan'!$F$6:$F$78,$B21,'SDE Plan'!$B$6:$B$78,"Yes",'SDE Plan'!$L$6:$L$78,"Done"),2,1),""))</f>
        <v/>
      </c>
      <c r="Y21" s="86" t="str">
        <f aca="false">IF($C21="","",IF(AND(Y$5&gt;=$C21,Y$5&lt;=$D21),IF(Y$5&lt;$C21+COUNTIFS('SDE Plan'!$F$6:$F$78,$B21,'SDE Plan'!$B$6:$B$78,"Yes",'SDE Plan'!$L$6:$L$78,"Done"),2,1),""))</f>
        <v/>
      </c>
      <c r="Z21" s="86" t="str">
        <f aca="false">IF($C21="","",IF(AND(Z$5&gt;=$C21,Z$5&lt;=$D21),IF(Z$5&lt;$C21+COUNTIFS('SDE Plan'!$F$6:$F$78,$B21,'SDE Plan'!$B$6:$B$78,"Yes",'SDE Plan'!$L$6:$L$78,"Done"),2,1),""))</f>
        <v/>
      </c>
      <c r="AA21" s="86" t="str">
        <f aca="false">IF($C21="","",IF(AND(AA$5&gt;=$C21,AA$5&lt;=$D21),IF(AA$5&lt;$C21+COUNTIFS('SDE Plan'!$F$6:$F$78,$B21,'SDE Plan'!$B$6:$B$78,"Yes",'SDE Plan'!$L$6:$L$78,"Done"),2,1),""))</f>
        <v/>
      </c>
      <c r="AB21" s="86" t="str">
        <f aca="false">IF($C21="","",IF(AND(AB$5&gt;=$C21,AB$5&lt;=$D21),IF(AB$5&lt;$C21+COUNTIFS('SDE Plan'!$F$6:$F$78,$B21,'SDE Plan'!$B$6:$B$78,"Yes",'SDE Plan'!$L$6:$L$78,"Done"),2,1),""))</f>
        <v/>
      </c>
      <c r="AC21" s="86" t="str">
        <f aca="false">IF($C21="","",IF(AND(AC$5&gt;=$C21,AC$5&lt;=$D21),IF(AC$5&lt;$C21+COUNTIFS('SDE Plan'!$F$6:$F$78,$B21,'SDE Plan'!$B$6:$B$78,"Yes",'SDE Plan'!$L$6:$L$78,"Done"),2,1),""))</f>
        <v/>
      </c>
      <c r="AD21" s="86" t="str">
        <f aca="false">IF($C21="","",IF(AND(AD$5&gt;=$C21,AD$5&lt;=$D21),IF(AD$5&lt;$C21+COUNTIFS('SDE Plan'!$F$6:$F$78,$B21,'SDE Plan'!$B$6:$B$78,"Yes",'SDE Plan'!$L$6:$L$78,"Done"),2,1),""))</f>
        <v/>
      </c>
      <c r="AE21" s="86" t="str">
        <f aca="false">IF($C21="","",IF(AND(AE$5&gt;=$C21,AE$5&lt;=$D21),IF(AE$5&lt;$C21+COUNTIFS('SDE Plan'!$F$6:$F$78,$B21,'SDE Plan'!$B$6:$B$78,"Yes",'SDE Plan'!$L$6:$L$78,"Done"),2,1),""))</f>
        <v/>
      </c>
      <c r="AF21" s="86" t="str">
        <f aca="false">IF($C21="","",IF(AND(AF$5&gt;=$C21,AF$5&lt;=$D21),IF(AF$5&lt;$C21+COUNTIFS('SDE Plan'!$F$6:$F$78,$B21,'SDE Plan'!$B$6:$B$78,"Yes",'SDE Plan'!$L$6:$L$78,"Done"),2,1),""))</f>
        <v/>
      </c>
      <c r="AG21" s="86" t="str">
        <f aca="false">IF($C21="","",IF(AND(AG$5&gt;=$C21,AG$5&lt;=$D21),IF(AG$5&lt;$C21+COUNTIFS('SDE Plan'!$F$6:$F$78,$B21,'SDE Plan'!$B$6:$B$78,"Yes",'SDE Plan'!$L$6:$L$78,"Done"),2,1),""))</f>
        <v/>
      </c>
      <c r="AH21" s="86" t="str">
        <f aca="false">IF($C21="","",IF(AND(AH$5&gt;=$C21,AH$5&lt;=$D21),IF(AH$5&lt;$C21+COUNTIFS('SDE Plan'!$F$6:$F$78,$B21,'SDE Plan'!$B$6:$B$78,"Yes",'SDE Plan'!$L$6:$L$78,"Done"),2,1),""))</f>
        <v/>
      </c>
      <c r="AI21" s="86" t="str">
        <f aca="false">IF($C21="","",IF(AND(AI$5&gt;=$C21,AI$5&lt;=$D21),IF(AI$5&lt;$C21+COUNTIFS('SDE Plan'!$F$6:$F$78,$B21,'SDE Plan'!$B$6:$B$78,"Yes",'SDE Plan'!$L$6:$L$78,"Done"),2,1),""))</f>
        <v/>
      </c>
      <c r="AJ21" s="86" t="str">
        <f aca="false">IF($C21="","",IF(AND(AJ$5&gt;=$C21,AJ$5&lt;=$D21),IF(AJ$5&lt;$C21+COUNTIFS('SDE Plan'!$F$6:$F$78,$B21,'SDE Plan'!$B$6:$B$78,"Yes",'SDE Plan'!$L$6:$L$78,"Done"),2,1),""))</f>
        <v/>
      </c>
      <c r="AK21" s="86" t="str">
        <f aca="false">IF($C21="","",IF(AND(AK$5&gt;=$C21,AK$5&lt;=$D21),IF(AK$5&lt;$C21+COUNTIFS('SDE Plan'!$F$6:$F$78,$B21,'SDE Plan'!$B$6:$B$78,"Yes",'SDE Plan'!$L$6:$L$78,"Done"),2,1),""))</f>
        <v/>
      </c>
      <c r="AL21" s="86" t="n">
        <f aca="false">IF($C21="","",IF(AND(AL$5&gt;=$C21,AL$5&lt;=$D21),IF(AL$5&lt;$C21+COUNTIFS('SDE Plan'!$F$6:$F$78,$B21,'SDE Plan'!$B$6:$B$78,"Yes",'SDE Plan'!$L$6:$L$78,"Done"),2,1),""))</f>
        <v>1</v>
      </c>
      <c r="AM21" s="86" t="n">
        <f aca="false">IF($C21="","",IF(AND(AM$5&gt;=$C21,AM$5&lt;=$D21),IF(AM$5&lt;$C21+COUNTIFS('SDE Plan'!$F$6:$F$78,$B21,'SDE Plan'!$B$6:$B$78,"Yes",'SDE Plan'!$L$6:$L$78,"Done"),2,1),""))</f>
        <v>1</v>
      </c>
      <c r="AN21" s="86" t="n">
        <f aca="false">IF($C21="","",IF(AND(AN$5&gt;=$C21,AN$5&lt;=$D21),IF(AN$5&lt;$C21+COUNTIFS('SDE Plan'!$F$6:$F$78,$B21,'SDE Plan'!$B$6:$B$78,"Yes",'SDE Plan'!$L$6:$L$78,"Done"),2,1),""))</f>
        <v>1</v>
      </c>
      <c r="AO21" s="86" t="n">
        <f aca="false">IF($C21="","",IF(AND(AO$5&gt;=$C21,AO$5&lt;=$D21),IF(AO$5&lt;$C21+COUNTIFS('SDE Plan'!$F$6:$F$78,$B21,'SDE Plan'!$B$6:$B$78,"Yes",'SDE Plan'!$L$6:$L$78,"Done"),2,1),""))</f>
        <v>1</v>
      </c>
      <c r="AP21" s="86" t="str">
        <f aca="false">IF($C21="","",IF(AND(AP$5&gt;=$C21,AP$5&lt;=$D21),IF(AP$5&lt;$C21+COUNTIFS('SDE Plan'!$F$6:$F$78,$B21,'SDE Plan'!$B$6:$B$78,"Yes",'SDE Plan'!$L$6:$L$78,"Done"),2,1),""))</f>
        <v/>
      </c>
      <c r="AQ21" s="86" t="str">
        <f aca="false">IF($C21="","",IF(AND(AQ$5&gt;=$C21,AQ$5&lt;=$D21),IF(AQ$5&lt;$C21+COUNTIFS('SDE Plan'!$F$6:$F$78,$B21,'SDE Plan'!$B$6:$B$78,"Yes",'SDE Plan'!$L$6:$L$78,"Done"),2,1),""))</f>
        <v/>
      </c>
    </row>
    <row r="22" customFormat="false" ht="18" hidden="false" customHeight="true" outlineLevel="0" collapsed="false">
      <c r="A22" s="84" t="s">
        <v>19</v>
      </c>
      <c r="B22" s="93" t="s">
        <v>111</v>
      </c>
      <c r="C22" s="84" t="n">
        <f aca="false">IF(COUNTIFS('SDE Plan'!$F$6:$F$78,$B22,'SDE Plan'!$B$6:$B$78,"Yes")=0,"",_xlfn.MINIFS('SDE Plan'!$A$6:$A$78,'SDE Plan'!$F$6:$F$78,$B22,'SDE Plan'!$B$6:$B$78,"Yes"))</f>
        <v>38</v>
      </c>
      <c r="D22" s="84" t="n">
        <f aca="false">IF(COUNTIFS('SDE Plan'!$F$6:$F$78,$B22,'SDE Plan'!$B$6:$B$78,"Yes")=0,"",_xlfn.MAXIFS('SDE Plan'!$A$6:$A$78,'SDE Plan'!$F$6:$F$78,$B22,'SDE Plan'!$B$6:$B$78,"Yes"))</f>
        <v>39</v>
      </c>
      <c r="E22" s="86" t="str">
        <f aca="false">IF($C22="","",IF(AND(E$5&gt;=$C22,E$5&lt;=$D22),IF(E$5&lt;$C22+COUNTIFS('SDE Plan'!$F$6:$F$78,$B22,'SDE Plan'!$B$6:$B$78,"Yes",'SDE Plan'!$L$6:$L$78,"Done"),2,1),""))</f>
        <v/>
      </c>
      <c r="F22" s="86" t="str">
        <f aca="false">IF($C22="","",IF(AND(F$5&gt;=$C22,F$5&lt;=$D22),IF(F$5&lt;$C22+COUNTIFS('SDE Plan'!$F$6:$F$78,$B22,'SDE Plan'!$B$6:$B$78,"Yes",'SDE Plan'!$L$6:$L$78,"Done"),2,1),""))</f>
        <v/>
      </c>
      <c r="G22" s="86" t="str">
        <f aca="false">IF($C22="","",IF(AND(G$5&gt;=$C22,G$5&lt;=$D22),IF(G$5&lt;$C22+COUNTIFS('SDE Plan'!$F$6:$F$78,$B22,'SDE Plan'!$B$6:$B$78,"Yes",'SDE Plan'!$L$6:$L$78,"Done"),2,1),""))</f>
        <v/>
      </c>
      <c r="H22" s="86" t="str">
        <f aca="false">IF($C22="","",IF(AND(H$5&gt;=$C22,H$5&lt;=$D22),IF(H$5&lt;$C22+COUNTIFS('SDE Plan'!$F$6:$F$78,$B22,'SDE Plan'!$B$6:$B$78,"Yes",'SDE Plan'!$L$6:$L$78,"Done"),2,1),""))</f>
        <v/>
      </c>
      <c r="I22" s="86" t="str">
        <f aca="false">IF($C22="","",IF(AND(I$5&gt;=$C22,I$5&lt;=$D22),IF(I$5&lt;$C22+COUNTIFS('SDE Plan'!$F$6:$F$78,$B22,'SDE Plan'!$B$6:$B$78,"Yes",'SDE Plan'!$L$6:$L$78,"Done"),2,1),""))</f>
        <v/>
      </c>
      <c r="J22" s="86" t="str">
        <f aca="false">IF($C22="","",IF(AND(J$5&gt;=$C22,J$5&lt;=$D22),IF(J$5&lt;$C22+COUNTIFS('SDE Plan'!$F$6:$F$78,$B22,'SDE Plan'!$B$6:$B$78,"Yes",'SDE Plan'!$L$6:$L$78,"Done"),2,1),""))</f>
        <v/>
      </c>
      <c r="K22" s="86" t="str">
        <f aca="false">IF($C22="","",IF(AND(K$5&gt;=$C22,K$5&lt;=$D22),IF(K$5&lt;$C22+COUNTIFS('SDE Plan'!$F$6:$F$78,$B22,'SDE Plan'!$B$6:$B$78,"Yes",'SDE Plan'!$L$6:$L$78,"Done"),2,1),""))</f>
        <v/>
      </c>
      <c r="L22" s="86" t="str">
        <f aca="false">IF($C22="","",IF(AND(L$5&gt;=$C22,L$5&lt;=$D22),IF(L$5&lt;$C22+COUNTIFS('SDE Plan'!$F$6:$F$78,$B22,'SDE Plan'!$B$6:$B$78,"Yes",'SDE Plan'!$L$6:$L$78,"Done"),2,1),""))</f>
        <v/>
      </c>
      <c r="M22" s="86" t="str">
        <f aca="false">IF($C22="","",IF(AND(M$5&gt;=$C22,M$5&lt;=$D22),IF(M$5&lt;$C22+COUNTIFS('SDE Plan'!$F$6:$F$78,$B22,'SDE Plan'!$B$6:$B$78,"Yes",'SDE Plan'!$L$6:$L$78,"Done"),2,1),""))</f>
        <v/>
      </c>
      <c r="N22" s="86" t="str">
        <f aca="false">IF($C22="","",IF(AND(N$5&gt;=$C22,N$5&lt;=$D22),IF(N$5&lt;$C22+COUNTIFS('SDE Plan'!$F$6:$F$78,$B22,'SDE Plan'!$B$6:$B$78,"Yes",'SDE Plan'!$L$6:$L$78,"Done"),2,1),""))</f>
        <v/>
      </c>
      <c r="O22" s="86" t="str">
        <f aca="false">IF($C22="","",IF(AND(O$5&gt;=$C22,O$5&lt;=$D22),IF(O$5&lt;$C22+COUNTIFS('SDE Plan'!$F$6:$F$78,$B22,'SDE Plan'!$B$6:$B$78,"Yes",'SDE Plan'!$L$6:$L$78,"Done"),2,1),""))</f>
        <v/>
      </c>
      <c r="P22" s="86" t="str">
        <f aca="false">IF($C22="","",IF(AND(P$5&gt;=$C22,P$5&lt;=$D22),IF(P$5&lt;$C22+COUNTIFS('SDE Plan'!$F$6:$F$78,$B22,'SDE Plan'!$B$6:$B$78,"Yes",'SDE Plan'!$L$6:$L$78,"Done"),2,1),""))</f>
        <v/>
      </c>
      <c r="Q22" s="86" t="str">
        <f aca="false">IF($C22="","",IF(AND(Q$5&gt;=$C22,Q$5&lt;=$D22),IF(Q$5&lt;$C22+COUNTIFS('SDE Plan'!$F$6:$F$78,$B22,'SDE Plan'!$B$6:$B$78,"Yes",'SDE Plan'!$L$6:$L$78,"Done"),2,1),""))</f>
        <v/>
      </c>
      <c r="R22" s="86" t="str">
        <f aca="false">IF($C22="","",IF(AND(R$5&gt;=$C22,R$5&lt;=$D22),IF(R$5&lt;$C22+COUNTIFS('SDE Plan'!$F$6:$F$78,$B22,'SDE Plan'!$B$6:$B$78,"Yes",'SDE Plan'!$L$6:$L$78,"Done"),2,1),""))</f>
        <v/>
      </c>
      <c r="S22" s="86" t="str">
        <f aca="false">IF($C22="","",IF(AND(S$5&gt;=$C22,S$5&lt;=$D22),IF(S$5&lt;$C22+COUNTIFS('SDE Plan'!$F$6:$F$78,$B22,'SDE Plan'!$B$6:$B$78,"Yes",'SDE Plan'!$L$6:$L$78,"Done"),2,1),""))</f>
        <v/>
      </c>
      <c r="T22" s="86" t="str">
        <f aca="false">IF($C22="","",IF(AND(T$5&gt;=$C22,T$5&lt;=$D22),IF(T$5&lt;$C22+COUNTIFS('SDE Plan'!$F$6:$F$78,$B22,'SDE Plan'!$B$6:$B$78,"Yes",'SDE Plan'!$L$6:$L$78,"Done"),2,1),""))</f>
        <v/>
      </c>
      <c r="U22" s="86" t="str">
        <f aca="false">IF($C22="","",IF(AND(U$5&gt;=$C22,U$5&lt;=$D22),IF(U$5&lt;$C22+COUNTIFS('SDE Plan'!$F$6:$F$78,$B22,'SDE Plan'!$B$6:$B$78,"Yes",'SDE Plan'!$L$6:$L$78,"Done"),2,1),""))</f>
        <v/>
      </c>
      <c r="V22" s="86" t="str">
        <f aca="false">IF($C22="","",IF(AND(V$5&gt;=$C22,V$5&lt;=$D22),IF(V$5&lt;$C22+COUNTIFS('SDE Plan'!$F$6:$F$78,$B22,'SDE Plan'!$B$6:$B$78,"Yes",'SDE Plan'!$L$6:$L$78,"Done"),2,1),""))</f>
        <v/>
      </c>
      <c r="W22" s="86" t="str">
        <f aca="false">IF($C22="","",IF(AND(W$5&gt;=$C22,W$5&lt;=$D22),IF(W$5&lt;$C22+COUNTIFS('SDE Plan'!$F$6:$F$78,$B22,'SDE Plan'!$B$6:$B$78,"Yes",'SDE Plan'!$L$6:$L$78,"Done"),2,1),""))</f>
        <v/>
      </c>
      <c r="X22" s="86" t="str">
        <f aca="false">IF($C22="","",IF(AND(X$5&gt;=$C22,X$5&lt;=$D22),IF(X$5&lt;$C22+COUNTIFS('SDE Plan'!$F$6:$F$78,$B22,'SDE Plan'!$B$6:$B$78,"Yes",'SDE Plan'!$L$6:$L$78,"Done"),2,1),""))</f>
        <v/>
      </c>
      <c r="Y22" s="86" t="str">
        <f aca="false">IF($C22="","",IF(AND(Y$5&gt;=$C22,Y$5&lt;=$D22),IF(Y$5&lt;$C22+COUNTIFS('SDE Plan'!$F$6:$F$78,$B22,'SDE Plan'!$B$6:$B$78,"Yes",'SDE Plan'!$L$6:$L$78,"Done"),2,1),""))</f>
        <v/>
      </c>
      <c r="Z22" s="86" t="str">
        <f aca="false">IF($C22="","",IF(AND(Z$5&gt;=$C22,Z$5&lt;=$D22),IF(Z$5&lt;$C22+COUNTIFS('SDE Plan'!$F$6:$F$78,$B22,'SDE Plan'!$B$6:$B$78,"Yes",'SDE Plan'!$L$6:$L$78,"Done"),2,1),""))</f>
        <v/>
      </c>
      <c r="AA22" s="86" t="str">
        <f aca="false">IF($C22="","",IF(AND(AA$5&gt;=$C22,AA$5&lt;=$D22),IF(AA$5&lt;$C22+COUNTIFS('SDE Plan'!$F$6:$F$78,$B22,'SDE Plan'!$B$6:$B$78,"Yes",'SDE Plan'!$L$6:$L$78,"Done"),2,1),""))</f>
        <v/>
      </c>
      <c r="AB22" s="86" t="str">
        <f aca="false">IF($C22="","",IF(AND(AB$5&gt;=$C22,AB$5&lt;=$D22),IF(AB$5&lt;$C22+COUNTIFS('SDE Plan'!$F$6:$F$78,$B22,'SDE Plan'!$B$6:$B$78,"Yes",'SDE Plan'!$L$6:$L$78,"Done"),2,1),""))</f>
        <v/>
      </c>
      <c r="AC22" s="86" t="str">
        <f aca="false">IF($C22="","",IF(AND(AC$5&gt;=$C22,AC$5&lt;=$D22),IF(AC$5&lt;$C22+COUNTIFS('SDE Plan'!$F$6:$F$78,$B22,'SDE Plan'!$B$6:$B$78,"Yes",'SDE Plan'!$L$6:$L$78,"Done"),2,1),""))</f>
        <v/>
      </c>
      <c r="AD22" s="86" t="str">
        <f aca="false">IF($C22="","",IF(AND(AD$5&gt;=$C22,AD$5&lt;=$D22),IF(AD$5&lt;$C22+COUNTIFS('SDE Plan'!$F$6:$F$78,$B22,'SDE Plan'!$B$6:$B$78,"Yes",'SDE Plan'!$L$6:$L$78,"Done"),2,1),""))</f>
        <v/>
      </c>
      <c r="AE22" s="86" t="str">
        <f aca="false">IF($C22="","",IF(AND(AE$5&gt;=$C22,AE$5&lt;=$D22),IF(AE$5&lt;$C22+COUNTIFS('SDE Plan'!$F$6:$F$78,$B22,'SDE Plan'!$B$6:$B$78,"Yes",'SDE Plan'!$L$6:$L$78,"Done"),2,1),""))</f>
        <v/>
      </c>
      <c r="AF22" s="86" t="str">
        <f aca="false">IF($C22="","",IF(AND(AF$5&gt;=$C22,AF$5&lt;=$D22),IF(AF$5&lt;$C22+COUNTIFS('SDE Plan'!$F$6:$F$78,$B22,'SDE Plan'!$B$6:$B$78,"Yes",'SDE Plan'!$L$6:$L$78,"Done"),2,1),""))</f>
        <v/>
      </c>
      <c r="AG22" s="86" t="str">
        <f aca="false">IF($C22="","",IF(AND(AG$5&gt;=$C22,AG$5&lt;=$D22),IF(AG$5&lt;$C22+COUNTIFS('SDE Plan'!$F$6:$F$78,$B22,'SDE Plan'!$B$6:$B$78,"Yes",'SDE Plan'!$L$6:$L$78,"Done"),2,1),""))</f>
        <v/>
      </c>
      <c r="AH22" s="86" t="str">
        <f aca="false">IF($C22="","",IF(AND(AH$5&gt;=$C22,AH$5&lt;=$D22),IF(AH$5&lt;$C22+COUNTIFS('SDE Plan'!$F$6:$F$78,$B22,'SDE Plan'!$B$6:$B$78,"Yes",'SDE Plan'!$L$6:$L$78,"Done"),2,1),""))</f>
        <v/>
      </c>
      <c r="AI22" s="86" t="str">
        <f aca="false">IF($C22="","",IF(AND(AI$5&gt;=$C22,AI$5&lt;=$D22),IF(AI$5&lt;$C22+COUNTIFS('SDE Plan'!$F$6:$F$78,$B22,'SDE Plan'!$B$6:$B$78,"Yes",'SDE Plan'!$L$6:$L$78,"Done"),2,1),""))</f>
        <v/>
      </c>
      <c r="AJ22" s="86" t="str">
        <f aca="false">IF($C22="","",IF(AND(AJ$5&gt;=$C22,AJ$5&lt;=$D22),IF(AJ$5&lt;$C22+COUNTIFS('SDE Plan'!$F$6:$F$78,$B22,'SDE Plan'!$B$6:$B$78,"Yes",'SDE Plan'!$L$6:$L$78,"Done"),2,1),""))</f>
        <v/>
      </c>
      <c r="AK22" s="86" t="str">
        <f aca="false">IF($C22="","",IF(AND(AK$5&gt;=$C22,AK$5&lt;=$D22),IF(AK$5&lt;$C22+COUNTIFS('SDE Plan'!$F$6:$F$78,$B22,'SDE Plan'!$B$6:$B$78,"Yes",'SDE Plan'!$L$6:$L$78,"Done"),2,1),""))</f>
        <v/>
      </c>
      <c r="AL22" s="86" t="str">
        <f aca="false">IF($C22="","",IF(AND(AL$5&gt;=$C22,AL$5&lt;=$D22),IF(AL$5&lt;$C22+COUNTIFS('SDE Plan'!$F$6:$F$78,$B22,'SDE Plan'!$B$6:$B$78,"Yes",'SDE Plan'!$L$6:$L$78,"Done"),2,1),""))</f>
        <v/>
      </c>
      <c r="AM22" s="86" t="str">
        <f aca="false">IF($C22="","",IF(AND(AM$5&gt;=$C22,AM$5&lt;=$D22),IF(AM$5&lt;$C22+COUNTIFS('SDE Plan'!$F$6:$F$78,$B22,'SDE Plan'!$B$6:$B$78,"Yes",'SDE Plan'!$L$6:$L$78,"Done"),2,1),""))</f>
        <v/>
      </c>
      <c r="AN22" s="86" t="str">
        <f aca="false">IF($C22="","",IF(AND(AN$5&gt;=$C22,AN$5&lt;=$D22),IF(AN$5&lt;$C22+COUNTIFS('SDE Plan'!$F$6:$F$78,$B22,'SDE Plan'!$B$6:$B$78,"Yes",'SDE Plan'!$L$6:$L$78,"Done"),2,1),""))</f>
        <v/>
      </c>
      <c r="AO22" s="86" t="str">
        <f aca="false">IF($C22="","",IF(AND(AO$5&gt;=$C22,AO$5&lt;=$D22),IF(AO$5&lt;$C22+COUNTIFS('SDE Plan'!$F$6:$F$78,$B22,'SDE Plan'!$B$6:$B$78,"Yes",'SDE Plan'!$L$6:$L$78,"Done"),2,1),""))</f>
        <v/>
      </c>
      <c r="AP22" s="86" t="n">
        <f aca="false">IF($C22="","",IF(AND(AP$5&gt;=$C22,AP$5&lt;=$D22),IF(AP$5&lt;$C22+COUNTIFS('SDE Plan'!$F$6:$F$78,$B22,'SDE Plan'!$B$6:$B$78,"Yes",'SDE Plan'!$L$6:$L$78,"Done"),2,1),""))</f>
        <v>1</v>
      </c>
      <c r="AQ22" s="86" t="n">
        <f aca="false">IF($C22="","",IF(AND(AQ$5&gt;=$C22,AQ$5&lt;=$D22),IF(AQ$5&lt;$C22+COUNTIFS('SDE Plan'!$F$6:$F$78,$B22,'SDE Plan'!$B$6:$B$78,"Yes",'SDE Plan'!$L$6:$L$78,"Done"),2,1),""))</f>
        <v>1</v>
      </c>
    </row>
    <row r="23" customFormat="false" ht="18" hidden="false" customHeight="true" outlineLevel="0" collapsed="false">
      <c r="A23" s="84" t="s">
        <v>19</v>
      </c>
      <c r="B23" s="94" t="s">
        <v>112</v>
      </c>
      <c r="C23" s="84" t="str">
        <f aca="false">IF(COUNTIFS('SDE Plan'!$F$6:$F$78,$B23,'SDE Plan'!$B$6:$B$78,"Yes")=0,"",_xlfn.MINIFS('SDE Plan'!$A$6:$A$78,'SDE Plan'!$F$6:$F$78,$B23,'SDE Plan'!$B$6:$B$78,"Yes"))</f>
        <v/>
      </c>
      <c r="D23" s="84" t="str">
        <f aca="false">IF(COUNTIFS('SDE Plan'!$F$6:$F$78,$B23,'SDE Plan'!$B$6:$B$78,"Yes")=0,"",_xlfn.MAXIFS('SDE Plan'!$A$6:$A$78,'SDE Plan'!$F$6:$F$78,$B23,'SDE Plan'!$B$6:$B$78,"Yes"))</f>
        <v/>
      </c>
      <c r="E23" s="86" t="str">
        <f aca="false">IF($C23="","",IF(AND(E$5&gt;=$C23,E$5&lt;=$D23),IF(E$5&lt;$C23+COUNTIFS('SDE Plan'!$F$6:$F$78,$B23,'SDE Plan'!$B$6:$B$78,"Yes",'SDE Plan'!$L$6:$L$78,"Done"),2,1),""))</f>
        <v/>
      </c>
      <c r="F23" s="86" t="str">
        <f aca="false">IF($C23="","",IF(AND(F$5&gt;=$C23,F$5&lt;=$D23),IF(F$5&lt;$C23+COUNTIFS('SDE Plan'!$F$6:$F$78,$B23,'SDE Plan'!$B$6:$B$78,"Yes",'SDE Plan'!$L$6:$L$78,"Done"),2,1),""))</f>
        <v/>
      </c>
      <c r="G23" s="86" t="str">
        <f aca="false">IF($C23="","",IF(AND(G$5&gt;=$C23,G$5&lt;=$D23),IF(G$5&lt;$C23+COUNTIFS('SDE Plan'!$F$6:$F$78,$B23,'SDE Plan'!$B$6:$B$78,"Yes",'SDE Plan'!$L$6:$L$78,"Done"),2,1),""))</f>
        <v/>
      </c>
      <c r="H23" s="86" t="str">
        <f aca="false">IF($C23="","",IF(AND(H$5&gt;=$C23,H$5&lt;=$D23),IF(H$5&lt;$C23+COUNTIFS('SDE Plan'!$F$6:$F$78,$B23,'SDE Plan'!$B$6:$B$78,"Yes",'SDE Plan'!$L$6:$L$78,"Done"),2,1),""))</f>
        <v/>
      </c>
      <c r="I23" s="86" t="str">
        <f aca="false">IF($C23="","",IF(AND(I$5&gt;=$C23,I$5&lt;=$D23),IF(I$5&lt;$C23+COUNTIFS('SDE Plan'!$F$6:$F$78,$B23,'SDE Plan'!$B$6:$B$78,"Yes",'SDE Plan'!$L$6:$L$78,"Done"),2,1),""))</f>
        <v/>
      </c>
      <c r="J23" s="86" t="str">
        <f aca="false">IF($C23="","",IF(AND(J$5&gt;=$C23,J$5&lt;=$D23),IF(J$5&lt;$C23+COUNTIFS('SDE Plan'!$F$6:$F$78,$B23,'SDE Plan'!$B$6:$B$78,"Yes",'SDE Plan'!$L$6:$L$78,"Done"),2,1),""))</f>
        <v/>
      </c>
      <c r="K23" s="86" t="str">
        <f aca="false">IF($C23="","",IF(AND(K$5&gt;=$C23,K$5&lt;=$D23),IF(K$5&lt;$C23+COUNTIFS('SDE Plan'!$F$6:$F$78,$B23,'SDE Plan'!$B$6:$B$78,"Yes",'SDE Plan'!$L$6:$L$78,"Done"),2,1),""))</f>
        <v/>
      </c>
      <c r="L23" s="86" t="str">
        <f aca="false">IF($C23="","",IF(AND(L$5&gt;=$C23,L$5&lt;=$D23),IF(L$5&lt;$C23+COUNTIFS('SDE Plan'!$F$6:$F$78,$B23,'SDE Plan'!$B$6:$B$78,"Yes",'SDE Plan'!$L$6:$L$78,"Done"),2,1),""))</f>
        <v/>
      </c>
      <c r="M23" s="86" t="str">
        <f aca="false">IF($C23="","",IF(AND(M$5&gt;=$C23,M$5&lt;=$D23),IF(M$5&lt;$C23+COUNTIFS('SDE Plan'!$F$6:$F$78,$B23,'SDE Plan'!$B$6:$B$78,"Yes",'SDE Plan'!$L$6:$L$78,"Done"),2,1),""))</f>
        <v/>
      </c>
      <c r="N23" s="86" t="str">
        <f aca="false">IF($C23="","",IF(AND(N$5&gt;=$C23,N$5&lt;=$D23),IF(N$5&lt;$C23+COUNTIFS('SDE Plan'!$F$6:$F$78,$B23,'SDE Plan'!$B$6:$B$78,"Yes",'SDE Plan'!$L$6:$L$78,"Done"),2,1),""))</f>
        <v/>
      </c>
      <c r="O23" s="86" t="str">
        <f aca="false">IF($C23="","",IF(AND(O$5&gt;=$C23,O$5&lt;=$D23),IF(O$5&lt;$C23+COUNTIFS('SDE Plan'!$F$6:$F$78,$B23,'SDE Plan'!$B$6:$B$78,"Yes",'SDE Plan'!$L$6:$L$78,"Done"),2,1),""))</f>
        <v/>
      </c>
      <c r="P23" s="86" t="str">
        <f aca="false">IF($C23="","",IF(AND(P$5&gt;=$C23,P$5&lt;=$D23),IF(P$5&lt;$C23+COUNTIFS('SDE Plan'!$F$6:$F$78,$B23,'SDE Plan'!$B$6:$B$78,"Yes",'SDE Plan'!$L$6:$L$78,"Done"),2,1),""))</f>
        <v/>
      </c>
      <c r="Q23" s="86" t="str">
        <f aca="false">IF($C23="","",IF(AND(Q$5&gt;=$C23,Q$5&lt;=$D23),IF(Q$5&lt;$C23+COUNTIFS('SDE Plan'!$F$6:$F$78,$B23,'SDE Plan'!$B$6:$B$78,"Yes",'SDE Plan'!$L$6:$L$78,"Done"),2,1),""))</f>
        <v/>
      </c>
      <c r="R23" s="86" t="str">
        <f aca="false">IF($C23="","",IF(AND(R$5&gt;=$C23,R$5&lt;=$D23),IF(R$5&lt;$C23+COUNTIFS('SDE Plan'!$F$6:$F$78,$B23,'SDE Plan'!$B$6:$B$78,"Yes",'SDE Plan'!$L$6:$L$78,"Done"),2,1),""))</f>
        <v/>
      </c>
      <c r="S23" s="86" t="str">
        <f aca="false">IF($C23="","",IF(AND(S$5&gt;=$C23,S$5&lt;=$D23),IF(S$5&lt;$C23+COUNTIFS('SDE Plan'!$F$6:$F$78,$B23,'SDE Plan'!$B$6:$B$78,"Yes",'SDE Plan'!$L$6:$L$78,"Done"),2,1),""))</f>
        <v/>
      </c>
      <c r="T23" s="86" t="str">
        <f aca="false">IF($C23="","",IF(AND(T$5&gt;=$C23,T$5&lt;=$D23),IF(T$5&lt;$C23+COUNTIFS('SDE Plan'!$F$6:$F$78,$B23,'SDE Plan'!$B$6:$B$78,"Yes",'SDE Plan'!$L$6:$L$78,"Done"),2,1),""))</f>
        <v/>
      </c>
      <c r="U23" s="86" t="str">
        <f aca="false">IF($C23="","",IF(AND(U$5&gt;=$C23,U$5&lt;=$D23),IF(U$5&lt;$C23+COUNTIFS('SDE Plan'!$F$6:$F$78,$B23,'SDE Plan'!$B$6:$B$78,"Yes",'SDE Plan'!$L$6:$L$78,"Done"),2,1),""))</f>
        <v/>
      </c>
      <c r="V23" s="86" t="str">
        <f aca="false">IF($C23="","",IF(AND(V$5&gt;=$C23,V$5&lt;=$D23),IF(V$5&lt;$C23+COUNTIFS('SDE Plan'!$F$6:$F$78,$B23,'SDE Plan'!$B$6:$B$78,"Yes",'SDE Plan'!$L$6:$L$78,"Done"),2,1),""))</f>
        <v/>
      </c>
      <c r="W23" s="86" t="str">
        <f aca="false">IF($C23="","",IF(AND(W$5&gt;=$C23,W$5&lt;=$D23),IF(W$5&lt;$C23+COUNTIFS('SDE Plan'!$F$6:$F$78,$B23,'SDE Plan'!$B$6:$B$78,"Yes",'SDE Plan'!$L$6:$L$78,"Done"),2,1),""))</f>
        <v/>
      </c>
      <c r="X23" s="86" t="str">
        <f aca="false">IF($C23="","",IF(AND(X$5&gt;=$C23,X$5&lt;=$D23),IF(X$5&lt;$C23+COUNTIFS('SDE Plan'!$F$6:$F$78,$B23,'SDE Plan'!$B$6:$B$78,"Yes",'SDE Plan'!$L$6:$L$78,"Done"),2,1),""))</f>
        <v/>
      </c>
      <c r="Y23" s="86" t="str">
        <f aca="false">IF($C23="","",IF(AND(Y$5&gt;=$C23,Y$5&lt;=$D23),IF(Y$5&lt;$C23+COUNTIFS('SDE Plan'!$F$6:$F$78,$B23,'SDE Plan'!$B$6:$B$78,"Yes",'SDE Plan'!$L$6:$L$78,"Done"),2,1),""))</f>
        <v/>
      </c>
      <c r="Z23" s="86" t="str">
        <f aca="false">IF($C23="","",IF(AND(Z$5&gt;=$C23,Z$5&lt;=$D23),IF(Z$5&lt;$C23+COUNTIFS('SDE Plan'!$F$6:$F$78,$B23,'SDE Plan'!$B$6:$B$78,"Yes",'SDE Plan'!$L$6:$L$78,"Done"),2,1),""))</f>
        <v/>
      </c>
      <c r="AA23" s="86" t="str">
        <f aca="false">IF($C23="","",IF(AND(AA$5&gt;=$C23,AA$5&lt;=$D23),IF(AA$5&lt;$C23+COUNTIFS('SDE Plan'!$F$6:$F$78,$B23,'SDE Plan'!$B$6:$B$78,"Yes",'SDE Plan'!$L$6:$L$78,"Done"),2,1),""))</f>
        <v/>
      </c>
      <c r="AB23" s="86" t="str">
        <f aca="false">IF($C23="","",IF(AND(AB$5&gt;=$C23,AB$5&lt;=$D23),IF(AB$5&lt;$C23+COUNTIFS('SDE Plan'!$F$6:$F$78,$B23,'SDE Plan'!$B$6:$B$78,"Yes",'SDE Plan'!$L$6:$L$78,"Done"),2,1),""))</f>
        <v/>
      </c>
      <c r="AC23" s="86" t="str">
        <f aca="false">IF($C23="","",IF(AND(AC$5&gt;=$C23,AC$5&lt;=$D23),IF(AC$5&lt;$C23+COUNTIFS('SDE Plan'!$F$6:$F$78,$B23,'SDE Plan'!$B$6:$B$78,"Yes",'SDE Plan'!$L$6:$L$78,"Done"),2,1),""))</f>
        <v/>
      </c>
      <c r="AD23" s="86" t="str">
        <f aca="false">IF($C23="","",IF(AND(AD$5&gt;=$C23,AD$5&lt;=$D23),IF(AD$5&lt;$C23+COUNTIFS('SDE Plan'!$F$6:$F$78,$B23,'SDE Plan'!$B$6:$B$78,"Yes",'SDE Plan'!$L$6:$L$78,"Done"),2,1),""))</f>
        <v/>
      </c>
      <c r="AE23" s="86" t="str">
        <f aca="false">IF($C23="","",IF(AND(AE$5&gt;=$C23,AE$5&lt;=$D23),IF(AE$5&lt;$C23+COUNTIFS('SDE Plan'!$F$6:$F$78,$B23,'SDE Plan'!$B$6:$B$78,"Yes",'SDE Plan'!$L$6:$L$78,"Done"),2,1),""))</f>
        <v/>
      </c>
      <c r="AF23" s="86" t="str">
        <f aca="false">IF($C23="","",IF(AND(AF$5&gt;=$C23,AF$5&lt;=$D23),IF(AF$5&lt;$C23+COUNTIFS('SDE Plan'!$F$6:$F$78,$B23,'SDE Plan'!$B$6:$B$78,"Yes",'SDE Plan'!$L$6:$L$78,"Done"),2,1),""))</f>
        <v/>
      </c>
      <c r="AG23" s="86" t="str">
        <f aca="false">IF($C23="","",IF(AND(AG$5&gt;=$C23,AG$5&lt;=$D23),IF(AG$5&lt;$C23+COUNTIFS('SDE Plan'!$F$6:$F$78,$B23,'SDE Plan'!$B$6:$B$78,"Yes",'SDE Plan'!$L$6:$L$78,"Done"),2,1),""))</f>
        <v/>
      </c>
      <c r="AH23" s="86" t="str">
        <f aca="false">IF($C23="","",IF(AND(AH$5&gt;=$C23,AH$5&lt;=$D23),IF(AH$5&lt;$C23+COUNTIFS('SDE Plan'!$F$6:$F$78,$B23,'SDE Plan'!$B$6:$B$78,"Yes",'SDE Plan'!$L$6:$L$78,"Done"),2,1),""))</f>
        <v/>
      </c>
      <c r="AI23" s="86" t="str">
        <f aca="false">IF($C23="","",IF(AND(AI$5&gt;=$C23,AI$5&lt;=$D23),IF(AI$5&lt;$C23+COUNTIFS('SDE Plan'!$F$6:$F$78,$B23,'SDE Plan'!$B$6:$B$78,"Yes",'SDE Plan'!$L$6:$L$78,"Done"),2,1),""))</f>
        <v/>
      </c>
      <c r="AJ23" s="86" t="str">
        <f aca="false">IF($C23="","",IF(AND(AJ$5&gt;=$C23,AJ$5&lt;=$D23),IF(AJ$5&lt;$C23+COUNTIFS('SDE Plan'!$F$6:$F$78,$B23,'SDE Plan'!$B$6:$B$78,"Yes",'SDE Plan'!$L$6:$L$78,"Done"),2,1),""))</f>
        <v/>
      </c>
      <c r="AK23" s="86" t="str">
        <f aca="false">IF($C23="","",IF(AND(AK$5&gt;=$C23,AK$5&lt;=$D23),IF(AK$5&lt;$C23+COUNTIFS('SDE Plan'!$F$6:$F$78,$B23,'SDE Plan'!$B$6:$B$78,"Yes",'SDE Plan'!$L$6:$L$78,"Done"),2,1),""))</f>
        <v/>
      </c>
      <c r="AL23" s="86" t="str">
        <f aca="false">IF($C23="","",IF(AND(AL$5&gt;=$C23,AL$5&lt;=$D23),IF(AL$5&lt;$C23+COUNTIFS('SDE Plan'!$F$6:$F$78,$B23,'SDE Plan'!$B$6:$B$78,"Yes",'SDE Plan'!$L$6:$L$78,"Done"),2,1),""))</f>
        <v/>
      </c>
      <c r="AM23" s="86" t="str">
        <f aca="false">IF($C23="","",IF(AND(AM$5&gt;=$C23,AM$5&lt;=$D23),IF(AM$5&lt;$C23+COUNTIFS('SDE Plan'!$F$6:$F$78,$B23,'SDE Plan'!$B$6:$B$78,"Yes",'SDE Plan'!$L$6:$L$78,"Done"),2,1),""))</f>
        <v/>
      </c>
      <c r="AN23" s="86" t="str">
        <f aca="false">IF($C23="","",IF(AND(AN$5&gt;=$C23,AN$5&lt;=$D23),IF(AN$5&lt;$C23+COUNTIFS('SDE Plan'!$F$6:$F$78,$B23,'SDE Plan'!$B$6:$B$78,"Yes",'SDE Plan'!$L$6:$L$78,"Done"),2,1),""))</f>
        <v/>
      </c>
      <c r="AO23" s="86" t="str">
        <f aca="false">IF($C23="","",IF(AND(AO$5&gt;=$C23,AO$5&lt;=$D23),IF(AO$5&lt;$C23+COUNTIFS('SDE Plan'!$F$6:$F$78,$B23,'SDE Plan'!$B$6:$B$78,"Yes",'SDE Plan'!$L$6:$L$78,"Done"),2,1),""))</f>
        <v/>
      </c>
      <c r="AP23" s="86" t="str">
        <f aca="false">IF($C23="","",IF(AND(AP$5&gt;=$C23,AP$5&lt;=$D23),IF(AP$5&lt;$C23+COUNTIFS('SDE Plan'!$F$6:$F$78,$B23,'SDE Plan'!$B$6:$B$78,"Yes",'SDE Plan'!$L$6:$L$78,"Done"),2,1),""))</f>
        <v/>
      </c>
      <c r="AQ23" s="86" t="str">
        <f aca="false">IF($C23="","",IF(AND(AQ$5&gt;=$C23,AQ$5&lt;=$D23),IF(AQ$5&lt;$C23+COUNTIFS('SDE Plan'!$F$6:$F$78,$B23,'SDE Plan'!$B$6:$B$78,"Yes",'SDE Plan'!$L$6:$L$78,"Done"),2,1),""))</f>
        <v/>
      </c>
    </row>
    <row r="24" customFormat="false" ht="18" hidden="false" customHeight="true" outlineLevel="0" collapsed="false">
      <c r="A24" s="84" t="s">
        <v>19</v>
      </c>
      <c r="B24" s="94" t="s">
        <v>113</v>
      </c>
      <c r="C24" s="84" t="str">
        <f aca="false">IF(COUNTIFS('SDE Plan'!$F$6:$F$78,$B24,'SDE Plan'!$B$6:$B$78,"Yes")=0,"",_xlfn.MINIFS('SDE Plan'!$A$6:$A$78,'SDE Plan'!$F$6:$F$78,$B24,'SDE Plan'!$B$6:$B$78,"Yes"))</f>
        <v/>
      </c>
      <c r="D24" s="84" t="str">
        <f aca="false">IF(COUNTIFS('SDE Plan'!$F$6:$F$78,$B24,'SDE Plan'!$B$6:$B$78,"Yes")=0,"",_xlfn.MAXIFS('SDE Plan'!$A$6:$A$78,'SDE Plan'!$F$6:$F$78,$B24,'SDE Plan'!$B$6:$B$78,"Yes"))</f>
        <v/>
      </c>
      <c r="E24" s="86" t="str">
        <f aca="false">IF($C24="","",IF(AND(E$5&gt;=$C24,E$5&lt;=$D24),IF(E$5&lt;$C24+COUNTIFS('SDE Plan'!$F$6:$F$78,$B24,'SDE Plan'!$B$6:$B$78,"Yes",'SDE Plan'!$L$6:$L$78,"Done"),2,1),""))</f>
        <v/>
      </c>
      <c r="F24" s="86" t="str">
        <f aca="false">IF($C24="","",IF(AND(F$5&gt;=$C24,F$5&lt;=$D24),IF(F$5&lt;$C24+COUNTIFS('SDE Plan'!$F$6:$F$78,$B24,'SDE Plan'!$B$6:$B$78,"Yes",'SDE Plan'!$L$6:$L$78,"Done"),2,1),""))</f>
        <v/>
      </c>
      <c r="G24" s="86" t="str">
        <f aca="false">IF($C24="","",IF(AND(G$5&gt;=$C24,G$5&lt;=$D24),IF(G$5&lt;$C24+COUNTIFS('SDE Plan'!$F$6:$F$78,$B24,'SDE Plan'!$B$6:$B$78,"Yes",'SDE Plan'!$L$6:$L$78,"Done"),2,1),""))</f>
        <v/>
      </c>
      <c r="H24" s="86" t="str">
        <f aca="false">IF($C24="","",IF(AND(H$5&gt;=$C24,H$5&lt;=$D24),IF(H$5&lt;$C24+COUNTIFS('SDE Plan'!$F$6:$F$78,$B24,'SDE Plan'!$B$6:$B$78,"Yes",'SDE Plan'!$L$6:$L$78,"Done"),2,1),""))</f>
        <v/>
      </c>
      <c r="I24" s="86" t="str">
        <f aca="false">IF($C24="","",IF(AND(I$5&gt;=$C24,I$5&lt;=$D24),IF(I$5&lt;$C24+COUNTIFS('SDE Plan'!$F$6:$F$78,$B24,'SDE Plan'!$B$6:$B$78,"Yes",'SDE Plan'!$L$6:$L$78,"Done"),2,1),""))</f>
        <v/>
      </c>
      <c r="J24" s="86" t="str">
        <f aca="false">IF($C24="","",IF(AND(J$5&gt;=$C24,J$5&lt;=$D24),IF(J$5&lt;$C24+COUNTIFS('SDE Plan'!$F$6:$F$78,$B24,'SDE Plan'!$B$6:$B$78,"Yes",'SDE Plan'!$L$6:$L$78,"Done"),2,1),""))</f>
        <v/>
      </c>
      <c r="K24" s="86" t="str">
        <f aca="false">IF($C24="","",IF(AND(K$5&gt;=$C24,K$5&lt;=$D24),IF(K$5&lt;$C24+COUNTIFS('SDE Plan'!$F$6:$F$78,$B24,'SDE Plan'!$B$6:$B$78,"Yes",'SDE Plan'!$L$6:$L$78,"Done"),2,1),""))</f>
        <v/>
      </c>
      <c r="L24" s="86" t="str">
        <f aca="false">IF($C24="","",IF(AND(L$5&gt;=$C24,L$5&lt;=$D24),IF(L$5&lt;$C24+COUNTIFS('SDE Plan'!$F$6:$F$78,$B24,'SDE Plan'!$B$6:$B$78,"Yes",'SDE Plan'!$L$6:$L$78,"Done"),2,1),""))</f>
        <v/>
      </c>
      <c r="M24" s="86" t="str">
        <f aca="false">IF($C24="","",IF(AND(M$5&gt;=$C24,M$5&lt;=$D24),IF(M$5&lt;$C24+COUNTIFS('SDE Plan'!$F$6:$F$78,$B24,'SDE Plan'!$B$6:$B$78,"Yes",'SDE Plan'!$L$6:$L$78,"Done"),2,1),""))</f>
        <v/>
      </c>
      <c r="N24" s="86" t="str">
        <f aca="false">IF($C24="","",IF(AND(N$5&gt;=$C24,N$5&lt;=$D24),IF(N$5&lt;$C24+COUNTIFS('SDE Plan'!$F$6:$F$78,$B24,'SDE Plan'!$B$6:$B$78,"Yes",'SDE Plan'!$L$6:$L$78,"Done"),2,1),""))</f>
        <v/>
      </c>
      <c r="O24" s="86" t="str">
        <f aca="false">IF($C24="","",IF(AND(O$5&gt;=$C24,O$5&lt;=$D24),IF(O$5&lt;$C24+COUNTIFS('SDE Plan'!$F$6:$F$78,$B24,'SDE Plan'!$B$6:$B$78,"Yes",'SDE Plan'!$L$6:$L$78,"Done"),2,1),""))</f>
        <v/>
      </c>
      <c r="P24" s="86" t="str">
        <f aca="false">IF($C24="","",IF(AND(P$5&gt;=$C24,P$5&lt;=$D24),IF(P$5&lt;$C24+COUNTIFS('SDE Plan'!$F$6:$F$78,$B24,'SDE Plan'!$B$6:$B$78,"Yes",'SDE Plan'!$L$6:$L$78,"Done"),2,1),""))</f>
        <v/>
      </c>
      <c r="Q24" s="86" t="str">
        <f aca="false">IF($C24="","",IF(AND(Q$5&gt;=$C24,Q$5&lt;=$D24),IF(Q$5&lt;$C24+COUNTIFS('SDE Plan'!$F$6:$F$78,$B24,'SDE Plan'!$B$6:$B$78,"Yes",'SDE Plan'!$L$6:$L$78,"Done"),2,1),""))</f>
        <v/>
      </c>
      <c r="R24" s="86" t="str">
        <f aca="false">IF($C24="","",IF(AND(R$5&gt;=$C24,R$5&lt;=$D24),IF(R$5&lt;$C24+COUNTIFS('SDE Plan'!$F$6:$F$78,$B24,'SDE Plan'!$B$6:$B$78,"Yes",'SDE Plan'!$L$6:$L$78,"Done"),2,1),""))</f>
        <v/>
      </c>
      <c r="S24" s="86" t="str">
        <f aca="false">IF($C24="","",IF(AND(S$5&gt;=$C24,S$5&lt;=$D24),IF(S$5&lt;$C24+COUNTIFS('SDE Plan'!$F$6:$F$78,$B24,'SDE Plan'!$B$6:$B$78,"Yes",'SDE Plan'!$L$6:$L$78,"Done"),2,1),""))</f>
        <v/>
      </c>
      <c r="T24" s="86" t="str">
        <f aca="false">IF($C24="","",IF(AND(T$5&gt;=$C24,T$5&lt;=$D24),IF(T$5&lt;$C24+COUNTIFS('SDE Plan'!$F$6:$F$78,$B24,'SDE Plan'!$B$6:$B$78,"Yes",'SDE Plan'!$L$6:$L$78,"Done"),2,1),""))</f>
        <v/>
      </c>
      <c r="U24" s="86" t="str">
        <f aca="false">IF($C24="","",IF(AND(U$5&gt;=$C24,U$5&lt;=$D24),IF(U$5&lt;$C24+COUNTIFS('SDE Plan'!$F$6:$F$78,$B24,'SDE Plan'!$B$6:$B$78,"Yes",'SDE Plan'!$L$6:$L$78,"Done"),2,1),""))</f>
        <v/>
      </c>
      <c r="V24" s="86" t="str">
        <f aca="false">IF($C24="","",IF(AND(V$5&gt;=$C24,V$5&lt;=$D24),IF(V$5&lt;$C24+COUNTIFS('SDE Plan'!$F$6:$F$78,$B24,'SDE Plan'!$B$6:$B$78,"Yes",'SDE Plan'!$L$6:$L$78,"Done"),2,1),""))</f>
        <v/>
      </c>
      <c r="W24" s="86" t="str">
        <f aca="false">IF($C24="","",IF(AND(W$5&gt;=$C24,W$5&lt;=$D24),IF(W$5&lt;$C24+COUNTIFS('SDE Plan'!$F$6:$F$78,$B24,'SDE Plan'!$B$6:$B$78,"Yes",'SDE Plan'!$L$6:$L$78,"Done"),2,1),""))</f>
        <v/>
      </c>
      <c r="X24" s="86" t="str">
        <f aca="false">IF($C24="","",IF(AND(X$5&gt;=$C24,X$5&lt;=$D24),IF(X$5&lt;$C24+COUNTIFS('SDE Plan'!$F$6:$F$78,$B24,'SDE Plan'!$B$6:$B$78,"Yes",'SDE Plan'!$L$6:$L$78,"Done"),2,1),""))</f>
        <v/>
      </c>
      <c r="Y24" s="86" t="str">
        <f aca="false">IF($C24="","",IF(AND(Y$5&gt;=$C24,Y$5&lt;=$D24),IF(Y$5&lt;$C24+COUNTIFS('SDE Plan'!$F$6:$F$78,$B24,'SDE Plan'!$B$6:$B$78,"Yes",'SDE Plan'!$L$6:$L$78,"Done"),2,1),""))</f>
        <v/>
      </c>
      <c r="Z24" s="86" t="str">
        <f aca="false">IF($C24="","",IF(AND(Z$5&gt;=$C24,Z$5&lt;=$D24),IF(Z$5&lt;$C24+COUNTIFS('SDE Plan'!$F$6:$F$78,$B24,'SDE Plan'!$B$6:$B$78,"Yes",'SDE Plan'!$L$6:$L$78,"Done"),2,1),""))</f>
        <v/>
      </c>
      <c r="AA24" s="86" t="str">
        <f aca="false">IF($C24="","",IF(AND(AA$5&gt;=$C24,AA$5&lt;=$D24),IF(AA$5&lt;$C24+COUNTIFS('SDE Plan'!$F$6:$F$78,$B24,'SDE Plan'!$B$6:$B$78,"Yes",'SDE Plan'!$L$6:$L$78,"Done"),2,1),""))</f>
        <v/>
      </c>
      <c r="AB24" s="86" t="str">
        <f aca="false">IF($C24="","",IF(AND(AB$5&gt;=$C24,AB$5&lt;=$D24),IF(AB$5&lt;$C24+COUNTIFS('SDE Plan'!$F$6:$F$78,$B24,'SDE Plan'!$B$6:$B$78,"Yes",'SDE Plan'!$L$6:$L$78,"Done"),2,1),""))</f>
        <v/>
      </c>
      <c r="AC24" s="86" t="str">
        <f aca="false">IF($C24="","",IF(AND(AC$5&gt;=$C24,AC$5&lt;=$D24),IF(AC$5&lt;$C24+COUNTIFS('SDE Plan'!$F$6:$F$78,$B24,'SDE Plan'!$B$6:$B$78,"Yes",'SDE Plan'!$L$6:$L$78,"Done"),2,1),""))</f>
        <v/>
      </c>
      <c r="AD24" s="86" t="str">
        <f aca="false">IF($C24="","",IF(AND(AD$5&gt;=$C24,AD$5&lt;=$D24),IF(AD$5&lt;$C24+COUNTIFS('SDE Plan'!$F$6:$F$78,$B24,'SDE Plan'!$B$6:$B$78,"Yes",'SDE Plan'!$L$6:$L$78,"Done"),2,1),""))</f>
        <v/>
      </c>
      <c r="AE24" s="86" t="str">
        <f aca="false">IF($C24="","",IF(AND(AE$5&gt;=$C24,AE$5&lt;=$D24),IF(AE$5&lt;$C24+COUNTIFS('SDE Plan'!$F$6:$F$78,$B24,'SDE Plan'!$B$6:$B$78,"Yes",'SDE Plan'!$L$6:$L$78,"Done"),2,1),""))</f>
        <v/>
      </c>
      <c r="AF24" s="86" t="str">
        <f aca="false">IF($C24="","",IF(AND(AF$5&gt;=$C24,AF$5&lt;=$D24),IF(AF$5&lt;$C24+COUNTIFS('SDE Plan'!$F$6:$F$78,$B24,'SDE Plan'!$B$6:$B$78,"Yes",'SDE Plan'!$L$6:$L$78,"Done"),2,1),""))</f>
        <v/>
      </c>
      <c r="AG24" s="86" t="str">
        <f aca="false">IF($C24="","",IF(AND(AG$5&gt;=$C24,AG$5&lt;=$D24),IF(AG$5&lt;$C24+COUNTIFS('SDE Plan'!$F$6:$F$78,$B24,'SDE Plan'!$B$6:$B$78,"Yes",'SDE Plan'!$L$6:$L$78,"Done"),2,1),""))</f>
        <v/>
      </c>
      <c r="AH24" s="86" t="str">
        <f aca="false">IF($C24="","",IF(AND(AH$5&gt;=$C24,AH$5&lt;=$D24),IF(AH$5&lt;$C24+COUNTIFS('SDE Plan'!$F$6:$F$78,$B24,'SDE Plan'!$B$6:$B$78,"Yes",'SDE Plan'!$L$6:$L$78,"Done"),2,1),""))</f>
        <v/>
      </c>
      <c r="AI24" s="86" t="str">
        <f aca="false">IF($C24="","",IF(AND(AI$5&gt;=$C24,AI$5&lt;=$D24),IF(AI$5&lt;$C24+COUNTIFS('SDE Plan'!$F$6:$F$78,$B24,'SDE Plan'!$B$6:$B$78,"Yes",'SDE Plan'!$L$6:$L$78,"Done"),2,1),""))</f>
        <v/>
      </c>
      <c r="AJ24" s="86" t="str">
        <f aca="false">IF($C24="","",IF(AND(AJ$5&gt;=$C24,AJ$5&lt;=$D24),IF(AJ$5&lt;$C24+COUNTIFS('SDE Plan'!$F$6:$F$78,$B24,'SDE Plan'!$B$6:$B$78,"Yes",'SDE Plan'!$L$6:$L$78,"Done"),2,1),""))</f>
        <v/>
      </c>
      <c r="AK24" s="86" t="str">
        <f aca="false">IF($C24="","",IF(AND(AK$5&gt;=$C24,AK$5&lt;=$D24),IF(AK$5&lt;$C24+COUNTIFS('SDE Plan'!$F$6:$F$78,$B24,'SDE Plan'!$B$6:$B$78,"Yes",'SDE Plan'!$L$6:$L$78,"Done"),2,1),""))</f>
        <v/>
      </c>
      <c r="AL24" s="86" t="str">
        <f aca="false">IF($C24="","",IF(AND(AL$5&gt;=$C24,AL$5&lt;=$D24),IF(AL$5&lt;$C24+COUNTIFS('SDE Plan'!$F$6:$F$78,$B24,'SDE Plan'!$B$6:$B$78,"Yes",'SDE Plan'!$L$6:$L$78,"Done"),2,1),""))</f>
        <v/>
      </c>
      <c r="AM24" s="86" t="str">
        <f aca="false">IF($C24="","",IF(AND(AM$5&gt;=$C24,AM$5&lt;=$D24),IF(AM$5&lt;$C24+COUNTIFS('SDE Plan'!$F$6:$F$78,$B24,'SDE Plan'!$B$6:$B$78,"Yes",'SDE Plan'!$L$6:$L$78,"Done"),2,1),""))</f>
        <v/>
      </c>
      <c r="AN24" s="86" t="str">
        <f aca="false">IF($C24="","",IF(AND(AN$5&gt;=$C24,AN$5&lt;=$D24),IF(AN$5&lt;$C24+COUNTIFS('SDE Plan'!$F$6:$F$78,$B24,'SDE Plan'!$B$6:$B$78,"Yes",'SDE Plan'!$L$6:$L$78,"Done"),2,1),""))</f>
        <v/>
      </c>
      <c r="AO24" s="86" t="str">
        <f aca="false">IF($C24="","",IF(AND(AO$5&gt;=$C24,AO$5&lt;=$D24),IF(AO$5&lt;$C24+COUNTIFS('SDE Plan'!$F$6:$F$78,$B24,'SDE Plan'!$B$6:$B$78,"Yes",'SDE Plan'!$L$6:$L$78,"Done"),2,1),""))</f>
        <v/>
      </c>
      <c r="AP24" s="86" t="str">
        <f aca="false">IF($C24="","",IF(AND(AP$5&gt;=$C24,AP$5&lt;=$D24),IF(AP$5&lt;$C24+COUNTIFS('SDE Plan'!$F$6:$F$78,$B24,'SDE Plan'!$B$6:$B$78,"Yes",'SDE Plan'!$L$6:$L$78,"Done"),2,1),""))</f>
        <v/>
      </c>
      <c r="AQ24" s="86" t="str">
        <f aca="false">IF($C24="","",IF(AND(AQ$5&gt;=$C24,AQ$5&lt;=$D24),IF(AQ$5&lt;$C24+COUNTIFS('SDE Plan'!$F$6:$F$78,$B24,'SDE Plan'!$B$6:$B$78,"Yes",'SDE Plan'!$L$6:$L$78,"Done"),2,1),""))</f>
        <v/>
      </c>
    </row>
    <row r="25" customFormat="false" ht="18" hidden="false" customHeight="true" outlineLevel="0" collapsed="false">
      <c r="A25" s="84" t="s">
        <v>19</v>
      </c>
      <c r="B25" s="94" t="s">
        <v>114</v>
      </c>
      <c r="C25" s="84" t="str">
        <f aca="false">IF(COUNTIFS('SDE Plan'!$F$6:$F$78,$B25,'SDE Plan'!$B$6:$B$78,"Yes")=0,"",_xlfn.MINIFS('SDE Plan'!$A$6:$A$78,'SDE Plan'!$F$6:$F$78,$B25,'SDE Plan'!$B$6:$B$78,"Yes"))</f>
        <v/>
      </c>
      <c r="D25" s="84" t="str">
        <f aca="false">IF(COUNTIFS('SDE Plan'!$F$6:$F$78,$B25,'SDE Plan'!$B$6:$B$78,"Yes")=0,"",_xlfn.MAXIFS('SDE Plan'!$A$6:$A$78,'SDE Plan'!$F$6:$F$78,$B25,'SDE Plan'!$B$6:$B$78,"Yes"))</f>
        <v/>
      </c>
      <c r="E25" s="86" t="str">
        <f aca="false">IF($C25="","",IF(AND(E$5&gt;=$C25,E$5&lt;=$D25),IF(E$5&lt;$C25+COUNTIFS('SDE Plan'!$F$6:$F$78,$B25,'SDE Plan'!$B$6:$B$78,"Yes",'SDE Plan'!$L$6:$L$78,"Done"),2,1),""))</f>
        <v/>
      </c>
      <c r="F25" s="86" t="str">
        <f aca="false">IF($C25="","",IF(AND(F$5&gt;=$C25,F$5&lt;=$D25),IF(F$5&lt;$C25+COUNTIFS('SDE Plan'!$F$6:$F$78,$B25,'SDE Plan'!$B$6:$B$78,"Yes",'SDE Plan'!$L$6:$L$78,"Done"),2,1),""))</f>
        <v/>
      </c>
      <c r="G25" s="86" t="str">
        <f aca="false">IF($C25="","",IF(AND(G$5&gt;=$C25,G$5&lt;=$D25),IF(G$5&lt;$C25+COUNTIFS('SDE Plan'!$F$6:$F$78,$B25,'SDE Plan'!$B$6:$B$78,"Yes",'SDE Plan'!$L$6:$L$78,"Done"),2,1),""))</f>
        <v/>
      </c>
      <c r="H25" s="86" t="str">
        <f aca="false">IF($C25="","",IF(AND(H$5&gt;=$C25,H$5&lt;=$D25),IF(H$5&lt;$C25+COUNTIFS('SDE Plan'!$F$6:$F$78,$B25,'SDE Plan'!$B$6:$B$78,"Yes",'SDE Plan'!$L$6:$L$78,"Done"),2,1),""))</f>
        <v/>
      </c>
      <c r="I25" s="86" t="str">
        <f aca="false">IF($C25="","",IF(AND(I$5&gt;=$C25,I$5&lt;=$D25),IF(I$5&lt;$C25+COUNTIFS('SDE Plan'!$F$6:$F$78,$B25,'SDE Plan'!$B$6:$B$78,"Yes",'SDE Plan'!$L$6:$L$78,"Done"),2,1),""))</f>
        <v/>
      </c>
      <c r="J25" s="86" t="str">
        <f aca="false">IF($C25="","",IF(AND(J$5&gt;=$C25,J$5&lt;=$D25),IF(J$5&lt;$C25+COUNTIFS('SDE Plan'!$F$6:$F$78,$B25,'SDE Plan'!$B$6:$B$78,"Yes",'SDE Plan'!$L$6:$L$78,"Done"),2,1),""))</f>
        <v/>
      </c>
      <c r="K25" s="86" t="str">
        <f aca="false">IF($C25="","",IF(AND(K$5&gt;=$C25,K$5&lt;=$D25),IF(K$5&lt;$C25+COUNTIFS('SDE Plan'!$F$6:$F$78,$B25,'SDE Plan'!$B$6:$B$78,"Yes",'SDE Plan'!$L$6:$L$78,"Done"),2,1),""))</f>
        <v/>
      </c>
      <c r="L25" s="86" t="str">
        <f aca="false">IF($C25="","",IF(AND(L$5&gt;=$C25,L$5&lt;=$D25),IF(L$5&lt;$C25+COUNTIFS('SDE Plan'!$F$6:$F$78,$B25,'SDE Plan'!$B$6:$B$78,"Yes",'SDE Plan'!$L$6:$L$78,"Done"),2,1),""))</f>
        <v/>
      </c>
      <c r="M25" s="86" t="str">
        <f aca="false">IF($C25="","",IF(AND(M$5&gt;=$C25,M$5&lt;=$D25),IF(M$5&lt;$C25+COUNTIFS('SDE Plan'!$F$6:$F$78,$B25,'SDE Plan'!$B$6:$B$78,"Yes",'SDE Plan'!$L$6:$L$78,"Done"),2,1),""))</f>
        <v/>
      </c>
      <c r="N25" s="86" t="str">
        <f aca="false">IF($C25="","",IF(AND(N$5&gt;=$C25,N$5&lt;=$D25),IF(N$5&lt;$C25+COUNTIFS('SDE Plan'!$F$6:$F$78,$B25,'SDE Plan'!$B$6:$B$78,"Yes",'SDE Plan'!$L$6:$L$78,"Done"),2,1),""))</f>
        <v/>
      </c>
      <c r="O25" s="86" t="str">
        <f aca="false">IF($C25="","",IF(AND(O$5&gt;=$C25,O$5&lt;=$D25),IF(O$5&lt;$C25+COUNTIFS('SDE Plan'!$F$6:$F$78,$B25,'SDE Plan'!$B$6:$B$78,"Yes",'SDE Plan'!$L$6:$L$78,"Done"),2,1),""))</f>
        <v/>
      </c>
      <c r="P25" s="86" t="str">
        <f aca="false">IF($C25="","",IF(AND(P$5&gt;=$C25,P$5&lt;=$D25),IF(P$5&lt;$C25+COUNTIFS('SDE Plan'!$F$6:$F$78,$B25,'SDE Plan'!$B$6:$B$78,"Yes",'SDE Plan'!$L$6:$L$78,"Done"),2,1),""))</f>
        <v/>
      </c>
      <c r="Q25" s="86" t="str">
        <f aca="false">IF($C25="","",IF(AND(Q$5&gt;=$C25,Q$5&lt;=$D25),IF(Q$5&lt;$C25+COUNTIFS('SDE Plan'!$F$6:$F$78,$B25,'SDE Plan'!$B$6:$B$78,"Yes",'SDE Plan'!$L$6:$L$78,"Done"),2,1),""))</f>
        <v/>
      </c>
      <c r="R25" s="86" t="str">
        <f aca="false">IF($C25="","",IF(AND(R$5&gt;=$C25,R$5&lt;=$D25),IF(R$5&lt;$C25+COUNTIFS('SDE Plan'!$F$6:$F$78,$B25,'SDE Plan'!$B$6:$B$78,"Yes",'SDE Plan'!$L$6:$L$78,"Done"),2,1),""))</f>
        <v/>
      </c>
      <c r="S25" s="86" t="str">
        <f aca="false">IF($C25="","",IF(AND(S$5&gt;=$C25,S$5&lt;=$D25),IF(S$5&lt;$C25+COUNTIFS('SDE Plan'!$F$6:$F$78,$B25,'SDE Plan'!$B$6:$B$78,"Yes",'SDE Plan'!$L$6:$L$78,"Done"),2,1),""))</f>
        <v/>
      </c>
      <c r="T25" s="86" t="str">
        <f aca="false">IF($C25="","",IF(AND(T$5&gt;=$C25,T$5&lt;=$D25),IF(T$5&lt;$C25+COUNTIFS('SDE Plan'!$F$6:$F$78,$B25,'SDE Plan'!$B$6:$B$78,"Yes",'SDE Plan'!$L$6:$L$78,"Done"),2,1),""))</f>
        <v/>
      </c>
      <c r="U25" s="86" t="str">
        <f aca="false">IF($C25="","",IF(AND(U$5&gt;=$C25,U$5&lt;=$D25),IF(U$5&lt;$C25+COUNTIFS('SDE Plan'!$F$6:$F$78,$B25,'SDE Plan'!$B$6:$B$78,"Yes",'SDE Plan'!$L$6:$L$78,"Done"),2,1),""))</f>
        <v/>
      </c>
      <c r="V25" s="86" t="str">
        <f aca="false">IF($C25="","",IF(AND(V$5&gt;=$C25,V$5&lt;=$D25),IF(V$5&lt;$C25+COUNTIFS('SDE Plan'!$F$6:$F$78,$B25,'SDE Plan'!$B$6:$B$78,"Yes",'SDE Plan'!$L$6:$L$78,"Done"),2,1),""))</f>
        <v/>
      </c>
      <c r="W25" s="86" t="str">
        <f aca="false">IF($C25="","",IF(AND(W$5&gt;=$C25,W$5&lt;=$D25),IF(W$5&lt;$C25+COUNTIFS('SDE Plan'!$F$6:$F$78,$B25,'SDE Plan'!$B$6:$B$78,"Yes",'SDE Plan'!$L$6:$L$78,"Done"),2,1),""))</f>
        <v/>
      </c>
      <c r="X25" s="86" t="str">
        <f aca="false">IF($C25="","",IF(AND(X$5&gt;=$C25,X$5&lt;=$D25),IF(X$5&lt;$C25+COUNTIFS('SDE Plan'!$F$6:$F$78,$B25,'SDE Plan'!$B$6:$B$78,"Yes",'SDE Plan'!$L$6:$L$78,"Done"),2,1),""))</f>
        <v/>
      </c>
      <c r="Y25" s="86" t="str">
        <f aca="false">IF($C25="","",IF(AND(Y$5&gt;=$C25,Y$5&lt;=$D25),IF(Y$5&lt;$C25+COUNTIFS('SDE Plan'!$F$6:$F$78,$B25,'SDE Plan'!$B$6:$B$78,"Yes",'SDE Plan'!$L$6:$L$78,"Done"),2,1),""))</f>
        <v/>
      </c>
      <c r="Z25" s="86" t="str">
        <f aca="false">IF($C25="","",IF(AND(Z$5&gt;=$C25,Z$5&lt;=$D25),IF(Z$5&lt;$C25+COUNTIFS('SDE Plan'!$F$6:$F$78,$B25,'SDE Plan'!$B$6:$B$78,"Yes",'SDE Plan'!$L$6:$L$78,"Done"),2,1),""))</f>
        <v/>
      </c>
      <c r="AA25" s="86" t="str">
        <f aca="false">IF($C25="","",IF(AND(AA$5&gt;=$C25,AA$5&lt;=$D25),IF(AA$5&lt;$C25+COUNTIFS('SDE Plan'!$F$6:$F$78,$B25,'SDE Plan'!$B$6:$B$78,"Yes",'SDE Plan'!$L$6:$L$78,"Done"),2,1),""))</f>
        <v/>
      </c>
      <c r="AB25" s="86" t="str">
        <f aca="false">IF($C25="","",IF(AND(AB$5&gt;=$C25,AB$5&lt;=$D25),IF(AB$5&lt;$C25+COUNTIFS('SDE Plan'!$F$6:$F$78,$B25,'SDE Plan'!$B$6:$B$78,"Yes",'SDE Plan'!$L$6:$L$78,"Done"),2,1),""))</f>
        <v/>
      </c>
      <c r="AC25" s="86" t="str">
        <f aca="false">IF($C25="","",IF(AND(AC$5&gt;=$C25,AC$5&lt;=$D25),IF(AC$5&lt;$C25+COUNTIFS('SDE Plan'!$F$6:$F$78,$B25,'SDE Plan'!$B$6:$B$78,"Yes",'SDE Plan'!$L$6:$L$78,"Done"),2,1),""))</f>
        <v/>
      </c>
      <c r="AD25" s="86" t="str">
        <f aca="false">IF($C25="","",IF(AND(AD$5&gt;=$C25,AD$5&lt;=$D25),IF(AD$5&lt;$C25+COUNTIFS('SDE Plan'!$F$6:$F$78,$B25,'SDE Plan'!$B$6:$B$78,"Yes",'SDE Plan'!$L$6:$L$78,"Done"),2,1),""))</f>
        <v/>
      </c>
      <c r="AE25" s="86" t="str">
        <f aca="false">IF($C25="","",IF(AND(AE$5&gt;=$C25,AE$5&lt;=$D25),IF(AE$5&lt;$C25+COUNTIFS('SDE Plan'!$F$6:$F$78,$B25,'SDE Plan'!$B$6:$B$78,"Yes",'SDE Plan'!$L$6:$L$78,"Done"),2,1),""))</f>
        <v/>
      </c>
      <c r="AF25" s="86" t="str">
        <f aca="false">IF($C25="","",IF(AND(AF$5&gt;=$C25,AF$5&lt;=$D25),IF(AF$5&lt;$C25+COUNTIFS('SDE Plan'!$F$6:$F$78,$B25,'SDE Plan'!$B$6:$B$78,"Yes",'SDE Plan'!$L$6:$L$78,"Done"),2,1),""))</f>
        <v/>
      </c>
      <c r="AG25" s="86" t="str">
        <f aca="false">IF($C25="","",IF(AND(AG$5&gt;=$C25,AG$5&lt;=$D25),IF(AG$5&lt;$C25+COUNTIFS('SDE Plan'!$F$6:$F$78,$B25,'SDE Plan'!$B$6:$B$78,"Yes",'SDE Plan'!$L$6:$L$78,"Done"),2,1),""))</f>
        <v/>
      </c>
      <c r="AH25" s="86" t="str">
        <f aca="false">IF($C25="","",IF(AND(AH$5&gt;=$C25,AH$5&lt;=$D25),IF(AH$5&lt;$C25+COUNTIFS('SDE Plan'!$F$6:$F$78,$B25,'SDE Plan'!$B$6:$B$78,"Yes",'SDE Plan'!$L$6:$L$78,"Done"),2,1),""))</f>
        <v/>
      </c>
      <c r="AI25" s="86" t="str">
        <f aca="false">IF($C25="","",IF(AND(AI$5&gt;=$C25,AI$5&lt;=$D25),IF(AI$5&lt;$C25+COUNTIFS('SDE Plan'!$F$6:$F$78,$B25,'SDE Plan'!$B$6:$B$78,"Yes",'SDE Plan'!$L$6:$L$78,"Done"),2,1),""))</f>
        <v/>
      </c>
      <c r="AJ25" s="86" t="str">
        <f aca="false">IF($C25="","",IF(AND(AJ$5&gt;=$C25,AJ$5&lt;=$D25),IF(AJ$5&lt;$C25+COUNTIFS('SDE Plan'!$F$6:$F$78,$B25,'SDE Plan'!$B$6:$B$78,"Yes",'SDE Plan'!$L$6:$L$78,"Done"),2,1),""))</f>
        <v/>
      </c>
      <c r="AK25" s="86" t="str">
        <f aca="false">IF($C25="","",IF(AND(AK$5&gt;=$C25,AK$5&lt;=$D25),IF(AK$5&lt;$C25+COUNTIFS('SDE Plan'!$F$6:$F$78,$B25,'SDE Plan'!$B$6:$B$78,"Yes",'SDE Plan'!$L$6:$L$78,"Done"),2,1),""))</f>
        <v/>
      </c>
      <c r="AL25" s="86" t="str">
        <f aca="false">IF($C25="","",IF(AND(AL$5&gt;=$C25,AL$5&lt;=$D25),IF(AL$5&lt;$C25+COUNTIFS('SDE Plan'!$F$6:$F$78,$B25,'SDE Plan'!$B$6:$B$78,"Yes",'SDE Plan'!$L$6:$L$78,"Done"),2,1),""))</f>
        <v/>
      </c>
      <c r="AM25" s="86" t="str">
        <f aca="false">IF($C25="","",IF(AND(AM$5&gt;=$C25,AM$5&lt;=$D25),IF(AM$5&lt;$C25+COUNTIFS('SDE Plan'!$F$6:$F$78,$B25,'SDE Plan'!$B$6:$B$78,"Yes",'SDE Plan'!$L$6:$L$78,"Done"),2,1),""))</f>
        <v/>
      </c>
      <c r="AN25" s="86" t="str">
        <f aca="false">IF($C25="","",IF(AND(AN$5&gt;=$C25,AN$5&lt;=$D25),IF(AN$5&lt;$C25+COUNTIFS('SDE Plan'!$F$6:$F$78,$B25,'SDE Plan'!$B$6:$B$78,"Yes",'SDE Plan'!$L$6:$L$78,"Done"),2,1),""))</f>
        <v/>
      </c>
      <c r="AO25" s="86" t="str">
        <f aca="false">IF($C25="","",IF(AND(AO$5&gt;=$C25,AO$5&lt;=$D25),IF(AO$5&lt;$C25+COUNTIFS('SDE Plan'!$F$6:$F$78,$B25,'SDE Plan'!$B$6:$B$78,"Yes",'SDE Plan'!$L$6:$L$78,"Done"),2,1),""))</f>
        <v/>
      </c>
      <c r="AP25" s="86" t="str">
        <f aca="false">IF($C25="","",IF(AND(AP$5&gt;=$C25,AP$5&lt;=$D25),IF(AP$5&lt;$C25+COUNTIFS('SDE Plan'!$F$6:$F$78,$B25,'SDE Plan'!$B$6:$B$78,"Yes",'SDE Plan'!$L$6:$L$78,"Done"),2,1),""))</f>
        <v/>
      </c>
      <c r="AQ25" s="86" t="str">
        <f aca="false">IF($C25="","",IF(AND(AQ$5&gt;=$C25,AQ$5&lt;=$D25),IF(AQ$5&lt;$C25+COUNTIFS('SDE Plan'!$F$6:$F$78,$B25,'SDE Plan'!$B$6:$B$78,"Yes",'SDE Plan'!$L$6:$L$78,"Done"),2,1),""))</f>
        <v/>
      </c>
    </row>
    <row r="26" customFormat="false" ht="18" hidden="false" customHeight="true" outlineLevel="0" collapsed="false">
      <c r="A26" s="84" t="s">
        <v>19</v>
      </c>
      <c r="B26" s="94" t="s">
        <v>115</v>
      </c>
      <c r="C26" s="84" t="str">
        <f aca="false">IF(COUNTIFS('SDE Plan'!$F$6:$F$78,$B26,'SDE Plan'!$B$6:$B$78,"Yes")=0,"",_xlfn.MINIFS('SDE Plan'!$A$6:$A$78,'SDE Plan'!$F$6:$F$78,$B26,'SDE Plan'!$B$6:$B$78,"Yes"))</f>
        <v/>
      </c>
      <c r="D26" s="84" t="str">
        <f aca="false">IF(COUNTIFS('SDE Plan'!$F$6:$F$78,$B26,'SDE Plan'!$B$6:$B$78,"Yes")=0,"",_xlfn.MAXIFS('SDE Plan'!$A$6:$A$78,'SDE Plan'!$F$6:$F$78,$B26,'SDE Plan'!$B$6:$B$78,"Yes"))</f>
        <v/>
      </c>
      <c r="E26" s="86" t="str">
        <f aca="false">IF($C26="","",IF(AND(E$5&gt;=$C26,E$5&lt;=$D26),IF(E$5&lt;$C26+COUNTIFS('SDE Plan'!$F$6:$F$78,$B26,'SDE Plan'!$B$6:$B$78,"Yes",'SDE Plan'!$L$6:$L$78,"Done"),2,1),""))</f>
        <v/>
      </c>
      <c r="F26" s="86" t="str">
        <f aca="false">IF($C26="","",IF(AND(F$5&gt;=$C26,F$5&lt;=$D26),IF(F$5&lt;$C26+COUNTIFS('SDE Plan'!$F$6:$F$78,$B26,'SDE Plan'!$B$6:$B$78,"Yes",'SDE Plan'!$L$6:$L$78,"Done"),2,1),""))</f>
        <v/>
      </c>
      <c r="G26" s="86" t="str">
        <f aca="false">IF($C26="","",IF(AND(G$5&gt;=$C26,G$5&lt;=$D26),IF(G$5&lt;$C26+COUNTIFS('SDE Plan'!$F$6:$F$78,$B26,'SDE Plan'!$B$6:$B$78,"Yes",'SDE Plan'!$L$6:$L$78,"Done"),2,1),""))</f>
        <v/>
      </c>
      <c r="H26" s="86" t="str">
        <f aca="false">IF($C26="","",IF(AND(H$5&gt;=$C26,H$5&lt;=$D26),IF(H$5&lt;$C26+COUNTIFS('SDE Plan'!$F$6:$F$78,$B26,'SDE Plan'!$B$6:$B$78,"Yes",'SDE Plan'!$L$6:$L$78,"Done"),2,1),""))</f>
        <v/>
      </c>
      <c r="I26" s="86" t="str">
        <f aca="false">IF($C26="","",IF(AND(I$5&gt;=$C26,I$5&lt;=$D26),IF(I$5&lt;$C26+COUNTIFS('SDE Plan'!$F$6:$F$78,$B26,'SDE Plan'!$B$6:$B$78,"Yes",'SDE Plan'!$L$6:$L$78,"Done"),2,1),""))</f>
        <v/>
      </c>
      <c r="J26" s="86" t="str">
        <f aca="false">IF($C26="","",IF(AND(J$5&gt;=$C26,J$5&lt;=$D26),IF(J$5&lt;$C26+COUNTIFS('SDE Plan'!$F$6:$F$78,$B26,'SDE Plan'!$B$6:$B$78,"Yes",'SDE Plan'!$L$6:$L$78,"Done"),2,1),""))</f>
        <v/>
      </c>
      <c r="K26" s="86" t="str">
        <f aca="false">IF($C26="","",IF(AND(K$5&gt;=$C26,K$5&lt;=$D26),IF(K$5&lt;$C26+COUNTIFS('SDE Plan'!$F$6:$F$78,$B26,'SDE Plan'!$B$6:$B$78,"Yes",'SDE Plan'!$L$6:$L$78,"Done"),2,1),""))</f>
        <v/>
      </c>
      <c r="L26" s="86" t="str">
        <f aca="false">IF($C26="","",IF(AND(L$5&gt;=$C26,L$5&lt;=$D26),IF(L$5&lt;$C26+COUNTIFS('SDE Plan'!$F$6:$F$78,$B26,'SDE Plan'!$B$6:$B$78,"Yes",'SDE Plan'!$L$6:$L$78,"Done"),2,1),""))</f>
        <v/>
      </c>
      <c r="M26" s="86" t="str">
        <f aca="false">IF($C26="","",IF(AND(M$5&gt;=$C26,M$5&lt;=$D26),IF(M$5&lt;$C26+COUNTIFS('SDE Plan'!$F$6:$F$78,$B26,'SDE Plan'!$B$6:$B$78,"Yes",'SDE Plan'!$L$6:$L$78,"Done"),2,1),""))</f>
        <v/>
      </c>
      <c r="N26" s="86" t="str">
        <f aca="false">IF($C26="","",IF(AND(N$5&gt;=$C26,N$5&lt;=$D26),IF(N$5&lt;$C26+COUNTIFS('SDE Plan'!$F$6:$F$78,$B26,'SDE Plan'!$B$6:$B$78,"Yes",'SDE Plan'!$L$6:$L$78,"Done"),2,1),""))</f>
        <v/>
      </c>
      <c r="O26" s="86" t="str">
        <f aca="false">IF($C26="","",IF(AND(O$5&gt;=$C26,O$5&lt;=$D26),IF(O$5&lt;$C26+COUNTIFS('SDE Plan'!$F$6:$F$78,$B26,'SDE Plan'!$B$6:$B$78,"Yes",'SDE Plan'!$L$6:$L$78,"Done"),2,1),""))</f>
        <v/>
      </c>
      <c r="P26" s="86" t="str">
        <f aca="false">IF($C26="","",IF(AND(P$5&gt;=$C26,P$5&lt;=$D26),IF(P$5&lt;$C26+COUNTIFS('SDE Plan'!$F$6:$F$78,$B26,'SDE Plan'!$B$6:$B$78,"Yes",'SDE Plan'!$L$6:$L$78,"Done"),2,1),""))</f>
        <v/>
      </c>
      <c r="Q26" s="86" t="str">
        <f aca="false">IF($C26="","",IF(AND(Q$5&gt;=$C26,Q$5&lt;=$D26),IF(Q$5&lt;$C26+COUNTIFS('SDE Plan'!$F$6:$F$78,$B26,'SDE Plan'!$B$6:$B$78,"Yes",'SDE Plan'!$L$6:$L$78,"Done"),2,1),""))</f>
        <v/>
      </c>
      <c r="R26" s="86" t="str">
        <f aca="false">IF($C26="","",IF(AND(R$5&gt;=$C26,R$5&lt;=$D26),IF(R$5&lt;$C26+COUNTIFS('SDE Plan'!$F$6:$F$78,$B26,'SDE Plan'!$B$6:$B$78,"Yes",'SDE Plan'!$L$6:$L$78,"Done"),2,1),""))</f>
        <v/>
      </c>
      <c r="S26" s="86" t="str">
        <f aca="false">IF($C26="","",IF(AND(S$5&gt;=$C26,S$5&lt;=$D26),IF(S$5&lt;$C26+COUNTIFS('SDE Plan'!$F$6:$F$78,$B26,'SDE Plan'!$B$6:$B$78,"Yes",'SDE Plan'!$L$6:$L$78,"Done"),2,1),""))</f>
        <v/>
      </c>
      <c r="T26" s="86" t="str">
        <f aca="false">IF($C26="","",IF(AND(T$5&gt;=$C26,T$5&lt;=$D26),IF(T$5&lt;$C26+COUNTIFS('SDE Plan'!$F$6:$F$78,$B26,'SDE Plan'!$B$6:$B$78,"Yes",'SDE Plan'!$L$6:$L$78,"Done"),2,1),""))</f>
        <v/>
      </c>
      <c r="U26" s="86" t="str">
        <f aca="false">IF($C26="","",IF(AND(U$5&gt;=$C26,U$5&lt;=$D26),IF(U$5&lt;$C26+COUNTIFS('SDE Plan'!$F$6:$F$78,$B26,'SDE Plan'!$B$6:$B$78,"Yes",'SDE Plan'!$L$6:$L$78,"Done"),2,1),""))</f>
        <v/>
      </c>
      <c r="V26" s="86" t="str">
        <f aca="false">IF($C26="","",IF(AND(V$5&gt;=$C26,V$5&lt;=$D26),IF(V$5&lt;$C26+COUNTIFS('SDE Plan'!$F$6:$F$78,$B26,'SDE Plan'!$B$6:$B$78,"Yes",'SDE Plan'!$L$6:$L$78,"Done"),2,1),""))</f>
        <v/>
      </c>
      <c r="W26" s="86" t="str">
        <f aca="false">IF($C26="","",IF(AND(W$5&gt;=$C26,W$5&lt;=$D26),IF(W$5&lt;$C26+COUNTIFS('SDE Plan'!$F$6:$F$78,$B26,'SDE Plan'!$B$6:$B$78,"Yes",'SDE Plan'!$L$6:$L$78,"Done"),2,1),""))</f>
        <v/>
      </c>
      <c r="X26" s="86" t="str">
        <f aca="false">IF($C26="","",IF(AND(X$5&gt;=$C26,X$5&lt;=$D26),IF(X$5&lt;$C26+COUNTIFS('SDE Plan'!$F$6:$F$78,$B26,'SDE Plan'!$B$6:$B$78,"Yes",'SDE Plan'!$L$6:$L$78,"Done"),2,1),""))</f>
        <v/>
      </c>
      <c r="Y26" s="86" t="str">
        <f aca="false">IF($C26="","",IF(AND(Y$5&gt;=$C26,Y$5&lt;=$D26),IF(Y$5&lt;$C26+COUNTIFS('SDE Plan'!$F$6:$F$78,$B26,'SDE Plan'!$B$6:$B$78,"Yes",'SDE Plan'!$L$6:$L$78,"Done"),2,1),""))</f>
        <v/>
      </c>
      <c r="Z26" s="86" t="str">
        <f aca="false">IF($C26="","",IF(AND(Z$5&gt;=$C26,Z$5&lt;=$D26),IF(Z$5&lt;$C26+COUNTIFS('SDE Plan'!$F$6:$F$78,$B26,'SDE Plan'!$B$6:$B$78,"Yes",'SDE Plan'!$L$6:$L$78,"Done"),2,1),""))</f>
        <v/>
      </c>
      <c r="AA26" s="86" t="str">
        <f aca="false">IF($C26="","",IF(AND(AA$5&gt;=$C26,AA$5&lt;=$D26),IF(AA$5&lt;$C26+COUNTIFS('SDE Plan'!$F$6:$F$78,$B26,'SDE Plan'!$B$6:$B$78,"Yes",'SDE Plan'!$L$6:$L$78,"Done"),2,1),""))</f>
        <v/>
      </c>
      <c r="AB26" s="86" t="str">
        <f aca="false">IF($C26="","",IF(AND(AB$5&gt;=$C26,AB$5&lt;=$D26),IF(AB$5&lt;$C26+COUNTIFS('SDE Plan'!$F$6:$F$78,$B26,'SDE Plan'!$B$6:$B$78,"Yes",'SDE Plan'!$L$6:$L$78,"Done"),2,1),""))</f>
        <v/>
      </c>
      <c r="AC26" s="86" t="str">
        <f aca="false">IF($C26="","",IF(AND(AC$5&gt;=$C26,AC$5&lt;=$D26),IF(AC$5&lt;$C26+COUNTIFS('SDE Plan'!$F$6:$F$78,$B26,'SDE Plan'!$B$6:$B$78,"Yes",'SDE Plan'!$L$6:$L$78,"Done"),2,1),""))</f>
        <v/>
      </c>
      <c r="AD26" s="86" t="str">
        <f aca="false">IF($C26="","",IF(AND(AD$5&gt;=$C26,AD$5&lt;=$D26),IF(AD$5&lt;$C26+COUNTIFS('SDE Plan'!$F$6:$F$78,$B26,'SDE Plan'!$B$6:$B$78,"Yes",'SDE Plan'!$L$6:$L$78,"Done"),2,1),""))</f>
        <v/>
      </c>
      <c r="AE26" s="86" t="str">
        <f aca="false">IF($C26="","",IF(AND(AE$5&gt;=$C26,AE$5&lt;=$D26),IF(AE$5&lt;$C26+COUNTIFS('SDE Plan'!$F$6:$F$78,$B26,'SDE Plan'!$B$6:$B$78,"Yes",'SDE Plan'!$L$6:$L$78,"Done"),2,1),""))</f>
        <v/>
      </c>
      <c r="AF26" s="86" t="str">
        <f aca="false">IF($C26="","",IF(AND(AF$5&gt;=$C26,AF$5&lt;=$D26),IF(AF$5&lt;$C26+COUNTIFS('SDE Plan'!$F$6:$F$78,$B26,'SDE Plan'!$B$6:$B$78,"Yes",'SDE Plan'!$L$6:$L$78,"Done"),2,1),""))</f>
        <v/>
      </c>
      <c r="AG26" s="86" t="str">
        <f aca="false">IF($C26="","",IF(AND(AG$5&gt;=$C26,AG$5&lt;=$D26),IF(AG$5&lt;$C26+COUNTIFS('SDE Plan'!$F$6:$F$78,$B26,'SDE Plan'!$B$6:$B$78,"Yes",'SDE Plan'!$L$6:$L$78,"Done"),2,1),""))</f>
        <v/>
      </c>
      <c r="AH26" s="86" t="str">
        <f aca="false">IF($C26="","",IF(AND(AH$5&gt;=$C26,AH$5&lt;=$D26),IF(AH$5&lt;$C26+COUNTIFS('SDE Plan'!$F$6:$F$78,$B26,'SDE Plan'!$B$6:$B$78,"Yes",'SDE Plan'!$L$6:$L$78,"Done"),2,1),""))</f>
        <v/>
      </c>
      <c r="AI26" s="86" t="str">
        <f aca="false">IF($C26="","",IF(AND(AI$5&gt;=$C26,AI$5&lt;=$D26),IF(AI$5&lt;$C26+COUNTIFS('SDE Plan'!$F$6:$F$78,$B26,'SDE Plan'!$B$6:$B$78,"Yes",'SDE Plan'!$L$6:$L$78,"Done"),2,1),""))</f>
        <v/>
      </c>
      <c r="AJ26" s="86" t="str">
        <f aca="false">IF($C26="","",IF(AND(AJ$5&gt;=$C26,AJ$5&lt;=$D26),IF(AJ$5&lt;$C26+COUNTIFS('SDE Plan'!$F$6:$F$78,$B26,'SDE Plan'!$B$6:$B$78,"Yes",'SDE Plan'!$L$6:$L$78,"Done"),2,1),""))</f>
        <v/>
      </c>
      <c r="AK26" s="86" t="str">
        <f aca="false">IF($C26="","",IF(AND(AK$5&gt;=$C26,AK$5&lt;=$D26),IF(AK$5&lt;$C26+COUNTIFS('SDE Plan'!$F$6:$F$78,$B26,'SDE Plan'!$B$6:$B$78,"Yes",'SDE Plan'!$L$6:$L$78,"Done"),2,1),""))</f>
        <v/>
      </c>
      <c r="AL26" s="86" t="str">
        <f aca="false">IF($C26="","",IF(AND(AL$5&gt;=$C26,AL$5&lt;=$D26),IF(AL$5&lt;$C26+COUNTIFS('SDE Plan'!$F$6:$F$78,$B26,'SDE Plan'!$B$6:$B$78,"Yes",'SDE Plan'!$L$6:$L$78,"Done"),2,1),""))</f>
        <v/>
      </c>
      <c r="AM26" s="86" t="str">
        <f aca="false">IF($C26="","",IF(AND(AM$5&gt;=$C26,AM$5&lt;=$D26),IF(AM$5&lt;$C26+COUNTIFS('SDE Plan'!$F$6:$F$78,$B26,'SDE Plan'!$B$6:$B$78,"Yes",'SDE Plan'!$L$6:$L$78,"Done"),2,1),""))</f>
        <v/>
      </c>
      <c r="AN26" s="86" t="str">
        <f aca="false">IF($C26="","",IF(AND(AN$5&gt;=$C26,AN$5&lt;=$D26),IF(AN$5&lt;$C26+COUNTIFS('SDE Plan'!$F$6:$F$78,$B26,'SDE Plan'!$B$6:$B$78,"Yes",'SDE Plan'!$L$6:$L$78,"Done"),2,1),""))</f>
        <v/>
      </c>
      <c r="AO26" s="86" t="str">
        <f aca="false">IF($C26="","",IF(AND(AO$5&gt;=$C26,AO$5&lt;=$D26),IF(AO$5&lt;$C26+COUNTIFS('SDE Plan'!$F$6:$F$78,$B26,'SDE Plan'!$B$6:$B$78,"Yes",'SDE Plan'!$L$6:$L$78,"Done"),2,1),""))</f>
        <v/>
      </c>
      <c r="AP26" s="86" t="str">
        <f aca="false">IF($C26="","",IF(AND(AP$5&gt;=$C26,AP$5&lt;=$D26),IF(AP$5&lt;$C26+COUNTIFS('SDE Plan'!$F$6:$F$78,$B26,'SDE Plan'!$B$6:$B$78,"Yes",'SDE Plan'!$L$6:$L$78,"Done"),2,1),""))</f>
        <v/>
      </c>
      <c r="AQ26" s="86" t="str">
        <f aca="false">IF($C26="","",IF(AND(AQ$5&gt;=$C26,AQ$5&lt;=$D26),IF(AQ$5&lt;$C26+COUNTIFS('SDE Plan'!$F$6:$F$78,$B26,'SDE Plan'!$B$6:$B$78,"Yes",'SDE Plan'!$L$6:$L$78,"Done"),2,1),""))</f>
        <v/>
      </c>
    </row>
    <row r="27" customFormat="false" ht="18" hidden="false" customHeight="true" outlineLevel="0" collapsed="false">
      <c r="A27" s="84" t="s">
        <v>19</v>
      </c>
      <c r="B27" s="94" t="s">
        <v>116</v>
      </c>
      <c r="C27" s="84" t="str">
        <f aca="false">IF(COUNTIFS('SDE Plan'!$F$6:$F$78,$B27,'SDE Plan'!$B$6:$B$78,"Yes")=0,"",_xlfn.MINIFS('SDE Plan'!$A$6:$A$78,'SDE Plan'!$F$6:$F$78,$B27,'SDE Plan'!$B$6:$B$78,"Yes"))</f>
        <v/>
      </c>
      <c r="D27" s="84" t="str">
        <f aca="false">IF(COUNTIFS('SDE Plan'!$F$6:$F$78,$B27,'SDE Plan'!$B$6:$B$78,"Yes")=0,"",_xlfn.MAXIFS('SDE Plan'!$A$6:$A$78,'SDE Plan'!$F$6:$F$78,$B27,'SDE Plan'!$B$6:$B$78,"Yes"))</f>
        <v/>
      </c>
      <c r="E27" s="86" t="str">
        <f aca="false">IF($C27="","",IF(AND(E$5&gt;=$C27,E$5&lt;=$D27),IF(E$5&lt;$C27+COUNTIFS('SDE Plan'!$F$6:$F$78,$B27,'SDE Plan'!$B$6:$B$78,"Yes",'SDE Plan'!$L$6:$L$78,"Done"),2,1),""))</f>
        <v/>
      </c>
      <c r="F27" s="86" t="str">
        <f aca="false">IF($C27="","",IF(AND(F$5&gt;=$C27,F$5&lt;=$D27),IF(F$5&lt;$C27+COUNTIFS('SDE Plan'!$F$6:$F$78,$B27,'SDE Plan'!$B$6:$B$78,"Yes",'SDE Plan'!$L$6:$L$78,"Done"),2,1),""))</f>
        <v/>
      </c>
      <c r="G27" s="86" t="str">
        <f aca="false">IF($C27="","",IF(AND(G$5&gt;=$C27,G$5&lt;=$D27),IF(G$5&lt;$C27+COUNTIFS('SDE Plan'!$F$6:$F$78,$B27,'SDE Plan'!$B$6:$B$78,"Yes",'SDE Plan'!$L$6:$L$78,"Done"),2,1),""))</f>
        <v/>
      </c>
      <c r="H27" s="86" t="str">
        <f aca="false">IF($C27="","",IF(AND(H$5&gt;=$C27,H$5&lt;=$D27),IF(H$5&lt;$C27+COUNTIFS('SDE Plan'!$F$6:$F$78,$B27,'SDE Plan'!$B$6:$B$78,"Yes",'SDE Plan'!$L$6:$L$78,"Done"),2,1),""))</f>
        <v/>
      </c>
      <c r="I27" s="86" t="str">
        <f aca="false">IF($C27="","",IF(AND(I$5&gt;=$C27,I$5&lt;=$D27),IF(I$5&lt;$C27+COUNTIFS('SDE Plan'!$F$6:$F$78,$B27,'SDE Plan'!$B$6:$B$78,"Yes",'SDE Plan'!$L$6:$L$78,"Done"),2,1),""))</f>
        <v/>
      </c>
      <c r="J27" s="86" t="str">
        <f aca="false">IF($C27="","",IF(AND(J$5&gt;=$C27,J$5&lt;=$D27),IF(J$5&lt;$C27+COUNTIFS('SDE Plan'!$F$6:$F$78,$B27,'SDE Plan'!$B$6:$B$78,"Yes",'SDE Plan'!$L$6:$L$78,"Done"),2,1),""))</f>
        <v/>
      </c>
      <c r="K27" s="86" t="str">
        <f aca="false">IF($C27="","",IF(AND(K$5&gt;=$C27,K$5&lt;=$D27),IF(K$5&lt;$C27+COUNTIFS('SDE Plan'!$F$6:$F$78,$B27,'SDE Plan'!$B$6:$B$78,"Yes",'SDE Plan'!$L$6:$L$78,"Done"),2,1),""))</f>
        <v/>
      </c>
      <c r="L27" s="86" t="str">
        <f aca="false">IF($C27="","",IF(AND(L$5&gt;=$C27,L$5&lt;=$D27),IF(L$5&lt;$C27+COUNTIFS('SDE Plan'!$F$6:$F$78,$B27,'SDE Plan'!$B$6:$B$78,"Yes",'SDE Plan'!$L$6:$L$78,"Done"),2,1),""))</f>
        <v/>
      </c>
      <c r="M27" s="86" t="str">
        <f aca="false">IF($C27="","",IF(AND(M$5&gt;=$C27,M$5&lt;=$D27),IF(M$5&lt;$C27+COUNTIFS('SDE Plan'!$F$6:$F$78,$B27,'SDE Plan'!$B$6:$B$78,"Yes",'SDE Plan'!$L$6:$L$78,"Done"),2,1),""))</f>
        <v/>
      </c>
      <c r="N27" s="86" t="str">
        <f aca="false">IF($C27="","",IF(AND(N$5&gt;=$C27,N$5&lt;=$D27),IF(N$5&lt;$C27+COUNTIFS('SDE Plan'!$F$6:$F$78,$B27,'SDE Plan'!$B$6:$B$78,"Yes",'SDE Plan'!$L$6:$L$78,"Done"),2,1),""))</f>
        <v/>
      </c>
      <c r="O27" s="86" t="str">
        <f aca="false">IF($C27="","",IF(AND(O$5&gt;=$C27,O$5&lt;=$D27),IF(O$5&lt;$C27+COUNTIFS('SDE Plan'!$F$6:$F$78,$B27,'SDE Plan'!$B$6:$B$78,"Yes",'SDE Plan'!$L$6:$L$78,"Done"),2,1),""))</f>
        <v/>
      </c>
      <c r="P27" s="86" t="str">
        <f aca="false">IF($C27="","",IF(AND(P$5&gt;=$C27,P$5&lt;=$D27),IF(P$5&lt;$C27+COUNTIFS('SDE Plan'!$F$6:$F$78,$B27,'SDE Plan'!$B$6:$B$78,"Yes",'SDE Plan'!$L$6:$L$78,"Done"),2,1),""))</f>
        <v/>
      </c>
      <c r="Q27" s="86" t="str">
        <f aca="false">IF($C27="","",IF(AND(Q$5&gt;=$C27,Q$5&lt;=$D27),IF(Q$5&lt;$C27+COUNTIFS('SDE Plan'!$F$6:$F$78,$B27,'SDE Plan'!$B$6:$B$78,"Yes",'SDE Plan'!$L$6:$L$78,"Done"),2,1),""))</f>
        <v/>
      </c>
      <c r="R27" s="86" t="str">
        <f aca="false">IF($C27="","",IF(AND(R$5&gt;=$C27,R$5&lt;=$D27),IF(R$5&lt;$C27+COUNTIFS('SDE Plan'!$F$6:$F$78,$B27,'SDE Plan'!$B$6:$B$78,"Yes",'SDE Plan'!$L$6:$L$78,"Done"),2,1),""))</f>
        <v/>
      </c>
      <c r="S27" s="86" t="str">
        <f aca="false">IF($C27="","",IF(AND(S$5&gt;=$C27,S$5&lt;=$D27),IF(S$5&lt;$C27+COUNTIFS('SDE Plan'!$F$6:$F$78,$B27,'SDE Plan'!$B$6:$B$78,"Yes",'SDE Plan'!$L$6:$L$78,"Done"),2,1),""))</f>
        <v/>
      </c>
      <c r="T27" s="86" t="str">
        <f aca="false">IF($C27="","",IF(AND(T$5&gt;=$C27,T$5&lt;=$D27),IF(T$5&lt;$C27+COUNTIFS('SDE Plan'!$F$6:$F$78,$B27,'SDE Plan'!$B$6:$B$78,"Yes",'SDE Plan'!$L$6:$L$78,"Done"),2,1),""))</f>
        <v/>
      </c>
      <c r="U27" s="86" t="str">
        <f aca="false">IF($C27="","",IF(AND(U$5&gt;=$C27,U$5&lt;=$D27),IF(U$5&lt;$C27+COUNTIFS('SDE Plan'!$F$6:$F$78,$B27,'SDE Plan'!$B$6:$B$78,"Yes",'SDE Plan'!$L$6:$L$78,"Done"),2,1),""))</f>
        <v/>
      </c>
      <c r="V27" s="86" t="str">
        <f aca="false">IF($C27="","",IF(AND(V$5&gt;=$C27,V$5&lt;=$D27),IF(V$5&lt;$C27+COUNTIFS('SDE Plan'!$F$6:$F$78,$B27,'SDE Plan'!$B$6:$B$78,"Yes",'SDE Plan'!$L$6:$L$78,"Done"),2,1),""))</f>
        <v/>
      </c>
      <c r="W27" s="86" t="str">
        <f aca="false">IF($C27="","",IF(AND(W$5&gt;=$C27,W$5&lt;=$D27),IF(W$5&lt;$C27+COUNTIFS('SDE Plan'!$F$6:$F$78,$B27,'SDE Plan'!$B$6:$B$78,"Yes",'SDE Plan'!$L$6:$L$78,"Done"),2,1),""))</f>
        <v/>
      </c>
      <c r="X27" s="86" t="str">
        <f aca="false">IF($C27="","",IF(AND(X$5&gt;=$C27,X$5&lt;=$D27),IF(X$5&lt;$C27+COUNTIFS('SDE Plan'!$F$6:$F$78,$B27,'SDE Plan'!$B$6:$B$78,"Yes",'SDE Plan'!$L$6:$L$78,"Done"),2,1),""))</f>
        <v/>
      </c>
      <c r="Y27" s="86" t="str">
        <f aca="false">IF($C27="","",IF(AND(Y$5&gt;=$C27,Y$5&lt;=$D27),IF(Y$5&lt;$C27+COUNTIFS('SDE Plan'!$F$6:$F$78,$B27,'SDE Plan'!$B$6:$B$78,"Yes",'SDE Plan'!$L$6:$L$78,"Done"),2,1),""))</f>
        <v/>
      </c>
      <c r="Z27" s="86" t="str">
        <f aca="false">IF($C27="","",IF(AND(Z$5&gt;=$C27,Z$5&lt;=$D27),IF(Z$5&lt;$C27+COUNTIFS('SDE Plan'!$F$6:$F$78,$B27,'SDE Plan'!$B$6:$B$78,"Yes",'SDE Plan'!$L$6:$L$78,"Done"),2,1),""))</f>
        <v/>
      </c>
      <c r="AA27" s="86" t="str">
        <f aca="false">IF($C27="","",IF(AND(AA$5&gt;=$C27,AA$5&lt;=$D27),IF(AA$5&lt;$C27+COUNTIFS('SDE Plan'!$F$6:$F$78,$B27,'SDE Plan'!$B$6:$B$78,"Yes",'SDE Plan'!$L$6:$L$78,"Done"),2,1),""))</f>
        <v/>
      </c>
      <c r="AB27" s="86" t="str">
        <f aca="false">IF($C27="","",IF(AND(AB$5&gt;=$C27,AB$5&lt;=$D27),IF(AB$5&lt;$C27+COUNTIFS('SDE Plan'!$F$6:$F$78,$B27,'SDE Plan'!$B$6:$B$78,"Yes",'SDE Plan'!$L$6:$L$78,"Done"),2,1),""))</f>
        <v/>
      </c>
      <c r="AC27" s="86" t="str">
        <f aca="false">IF($C27="","",IF(AND(AC$5&gt;=$C27,AC$5&lt;=$D27),IF(AC$5&lt;$C27+COUNTIFS('SDE Plan'!$F$6:$F$78,$B27,'SDE Plan'!$B$6:$B$78,"Yes",'SDE Plan'!$L$6:$L$78,"Done"),2,1),""))</f>
        <v/>
      </c>
      <c r="AD27" s="86" t="str">
        <f aca="false">IF($C27="","",IF(AND(AD$5&gt;=$C27,AD$5&lt;=$D27),IF(AD$5&lt;$C27+COUNTIFS('SDE Plan'!$F$6:$F$78,$B27,'SDE Plan'!$B$6:$B$78,"Yes",'SDE Plan'!$L$6:$L$78,"Done"),2,1),""))</f>
        <v/>
      </c>
      <c r="AE27" s="86" t="str">
        <f aca="false">IF($C27="","",IF(AND(AE$5&gt;=$C27,AE$5&lt;=$D27),IF(AE$5&lt;$C27+COUNTIFS('SDE Plan'!$F$6:$F$78,$B27,'SDE Plan'!$B$6:$B$78,"Yes",'SDE Plan'!$L$6:$L$78,"Done"),2,1),""))</f>
        <v/>
      </c>
      <c r="AF27" s="86" t="str">
        <f aca="false">IF($C27="","",IF(AND(AF$5&gt;=$C27,AF$5&lt;=$D27),IF(AF$5&lt;$C27+COUNTIFS('SDE Plan'!$F$6:$F$78,$B27,'SDE Plan'!$B$6:$B$78,"Yes",'SDE Plan'!$L$6:$L$78,"Done"),2,1),""))</f>
        <v/>
      </c>
      <c r="AG27" s="86" t="str">
        <f aca="false">IF($C27="","",IF(AND(AG$5&gt;=$C27,AG$5&lt;=$D27),IF(AG$5&lt;$C27+COUNTIFS('SDE Plan'!$F$6:$F$78,$B27,'SDE Plan'!$B$6:$B$78,"Yes",'SDE Plan'!$L$6:$L$78,"Done"),2,1),""))</f>
        <v/>
      </c>
      <c r="AH27" s="86" t="str">
        <f aca="false">IF($C27="","",IF(AND(AH$5&gt;=$C27,AH$5&lt;=$D27),IF(AH$5&lt;$C27+COUNTIFS('SDE Plan'!$F$6:$F$78,$B27,'SDE Plan'!$B$6:$B$78,"Yes",'SDE Plan'!$L$6:$L$78,"Done"),2,1),""))</f>
        <v/>
      </c>
      <c r="AI27" s="86" t="str">
        <f aca="false">IF($C27="","",IF(AND(AI$5&gt;=$C27,AI$5&lt;=$D27),IF(AI$5&lt;$C27+COUNTIFS('SDE Plan'!$F$6:$F$78,$B27,'SDE Plan'!$B$6:$B$78,"Yes",'SDE Plan'!$L$6:$L$78,"Done"),2,1),""))</f>
        <v/>
      </c>
      <c r="AJ27" s="86" t="str">
        <f aca="false">IF($C27="","",IF(AND(AJ$5&gt;=$C27,AJ$5&lt;=$D27),IF(AJ$5&lt;$C27+COUNTIFS('SDE Plan'!$F$6:$F$78,$B27,'SDE Plan'!$B$6:$B$78,"Yes",'SDE Plan'!$L$6:$L$78,"Done"),2,1),""))</f>
        <v/>
      </c>
      <c r="AK27" s="86" t="str">
        <f aca="false">IF($C27="","",IF(AND(AK$5&gt;=$C27,AK$5&lt;=$D27),IF(AK$5&lt;$C27+COUNTIFS('SDE Plan'!$F$6:$F$78,$B27,'SDE Plan'!$B$6:$B$78,"Yes",'SDE Plan'!$L$6:$L$78,"Done"),2,1),""))</f>
        <v/>
      </c>
      <c r="AL27" s="86" t="str">
        <f aca="false">IF($C27="","",IF(AND(AL$5&gt;=$C27,AL$5&lt;=$D27),IF(AL$5&lt;$C27+COUNTIFS('SDE Plan'!$F$6:$F$78,$B27,'SDE Plan'!$B$6:$B$78,"Yes",'SDE Plan'!$L$6:$L$78,"Done"),2,1),""))</f>
        <v/>
      </c>
      <c r="AM27" s="86" t="str">
        <f aca="false">IF($C27="","",IF(AND(AM$5&gt;=$C27,AM$5&lt;=$D27),IF(AM$5&lt;$C27+COUNTIFS('SDE Plan'!$F$6:$F$78,$B27,'SDE Plan'!$B$6:$B$78,"Yes",'SDE Plan'!$L$6:$L$78,"Done"),2,1),""))</f>
        <v/>
      </c>
      <c r="AN27" s="86" t="str">
        <f aca="false">IF($C27="","",IF(AND(AN$5&gt;=$C27,AN$5&lt;=$D27),IF(AN$5&lt;$C27+COUNTIFS('SDE Plan'!$F$6:$F$78,$B27,'SDE Plan'!$B$6:$B$78,"Yes",'SDE Plan'!$L$6:$L$78,"Done"),2,1),""))</f>
        <v/>
      </c>
      <c r="AO27" s="86" t="str">
        <f aca="false">IF($C27="","",IF(AND(AO$5&gt;=$C27,AO$5&lt;=$D27),IF(AO$5&lt;$C27+COUNTIFS('SDE Plan'!$F$6:$F$78,$B27,'SDE Plan'!$B$6:$B$78,"Yes",'SDE Plan'!$L$6:$L$78,"Done"),2,1),""))</f>
        <v/>
      </c>
      <c r="AP27" s="86" t="str">
        <f aca="false">IF($C27="","",IF(AND(AP$5&gt;=$C27,AP$5&lt;=$D27),IF(AP$5&lt;$C27+COUNTIFS('SDE Plan'!$F$6:$F$78,$B27,'SDE Plan'!$B$6:$B$78,"Yes",'SDE Plan'!$L$6:$L$78,"Done"),2,1),""))</f>
        <v/>
      </c>
      <c r="AQ27" s="86" t="str">
        <f aca="false">IF($C27="","",IF(AND(AQ$5&gt;=$C27,AQ$5&lt;=$D27),IF(AQ$5&lt;$C27+COUNTIFS('SDE Plan'!$F$6:$F$78,$B27,'SDE Plan'!$B$6:$B$78,"Yes",'SDE Plan'!$L$6:$L$78,"Done"),2,1),""))</f>
        <v/>
      </c>
    </row>
    <row r="28" customFormat="false" ht="15" hidden="false" customHeight="false" outlineLevel="0" collapsed="false"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</row>
    <row r="29" customFormat="false" ht="15" hidden="false" customHeight="false" outlineLevel="0" collapsed="false">
      <c r="A29" s="96" t="s">
        <v>117</v>
      </c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6"/>
    </row>
    <row r="30" customFormat="false" ht="18" hidden="false" customHeight="true" outlineLevel="0" collapsed="false">
      <c r="A30" s="84" t="s">
        <v>20</v>
      </c>
      <c r="B30" s="87" t="s">
        <v>118</v>
      </c>
      <c r="C30" s="84" t="n">
        <f aca="false">IF(COUNTIFS('FullStack Plan'!$F$6:$F$78,$B30,'FullStack Plan'!$B$6:$B$78,"Yes")=0,"",_xlfn.MINIFS('FullStack Plan'!$A$6:$A$78,'FullStack Plan'!$F$6:$F$78,$B30,'FullStack Plan'!$B$6:$B$78,"Yes"))</f>
        <v>1</v>
      </c>
      <c r="D30" s="84" t="n">
        <f aca="false">IF(COUNTIFS('FullStack Plan'!$F$6:$F$78,$B30,'FullStack Plan'!$B$6:$B$78,"Yes")=0,"",_xlfn.MAXIFS('FullStack Plan'!$A$6:$A$78,'FullStack Plan'!$F$6:$F$78,$B30,'FullStack Plan'!$B$6:$B$78,"Yes"))</f>
        <v>2</v>
      </c>
      <c r="E30" s="86" t="n">
        <f aca="false">IF($C30="","",IF(AND(E$5&gt;=$C30,E$5&lt;=$D30),IF(E$5&lt;$C30+COUNTIFS('FullStack Plan'!$F$6:$F$78,$B30,'FullStack Plan'!$B$6:$B$78,"Yes",'FullStack Plan'!$L$6:$L$78,"Done"),2,1),""))</f>
        <v>1</v>
      </c>
      <c r="F30" s="86" t="n">
        <f aca="false">IF($C30="","",IF(AND(F$5&gt;=$C30,F$5&lt;=$D30),IF(F$5&lt;$C30+COUNTIFS('FullStack Plan'!$F$6:$F$78,$B30,'FullStack Plan'!$B$6:$B$78,"Yes",'FullStack Plan'!$L$6:$L$78,"Done"),2,1),""))</f>
        <v>1</v>
      </c>
      <c r="G30" s="86" t="str">
        <f aca="false">IF($C30="","",IF(AND(G$5&gt;=$C30,G$5&lt;=$D30),IF(G$5&lt;$C30+COUNTIFS('FullStack Plan'!$F$6:$F$78,$B30,'FullStack Plan'!$B$6:$B$78,"Yes",'FullStack Plan'!$L$6:$L$78,"Done"),2,1),""))</f>
        <v/>
      </c>
      <c r="H30" s="86" t="str">
        <f aca="false">IF($C30="","",IF(AND(H$5&gt;=$C30,H$5&lt;=$D30),IF(H$5&lt;$C30+COUNTIFS('FullStack Plan'!$F$6:$F$78,$B30,'FullStack Plan'!$B$6:$B$78,"Yes",'FullStack Plan'!$L$6:$L$78,"Done"),2,1),""))</f>
        <v/>
      </c>
      <c r="I30" s="86" t="str">
        <f aca="false">IF($C30="","",IF(AND(I$5&gt;=$C30,I$5&lt;=$D30),IF(I$5&lt;$C30+COUNTIFS('FullStack Plan'!$F$6:$F$78,$B30,'FullStack Plan'!$B$6:$B$78,"Yes",'FullStack Plan'!$L$6:$L$78,"Done"),2,1),""))</f>
        <v/>
      </c>
      <c r="J30" s="86" t="str">
        <f aca="false">IF($C30="","",IF(AND(J$5&gt;=$C30,J$5&lt;=$D30),IF(J$5&lt;$C30+COUNTIFS('FullStack Plan'!$F$6:$F$78,$B30,'FullStack Plan'!$B$6:$B$78,"Yes",'FullStack Plan'!$L$6:$L$78,"Done"),2,1),""))</f>
        <v/>
      </c>
      <c r="K30" s="86" t="str">
        <f aca="false">IF($C30="","",IF(AND(K$5&gt;=$C30,K$5&lt;=$D30),IF(K$5&lt;$C30+COUNTIFS('FullStack Plan'!$F$6:$F$78,$B30,'FullStack Plan'!$B$6:$B$78,"Yes",'FullStack Plan'!$L$6:$L$78,"Done"),2,1),""))</f>
        <v/>
      </c>
      <c r="L30" s="86" t="str">
        <f aca="false">IF($C30="","",IF(AND(L$5&gt;=$C30,L$5&lt;=$D30),IF(L$5&lt;$C30+COUNTIFS('FullStack Plan'!$F$6:$F$78,$B30,'FullStack Plan'!$B$6:$B$78,"Yes",'FullStack Plan'!$L$6:$L$78,"Done"),2,1),""))</f>
        <v/>
      </c>
      <c r="M30" s="86" t="str">
        <f aca="false">IF($C30="","",IF(AND(M$5&gt;=$C30,M$5&lt;=$D30),IF(M$5&lt;$C30+COUNTIFS('FullStack Plan'!$F$6:$F$78,$B30,'FullStack Plan'!$B$6:$B$78,"Yes",'FullStack Plan'!$L$6:$L$78,"Done"),2,1),""))</f>
        <v/>
      </c>
      <c r="N30" s="86" t="str">
        <f aca="false">IF($C30="","",IF(AND(N$5&gt;=$C30,N$5&lt;=$D30),IF(N$5&lt;$C30+COUNTIFS('FullStack Plan'!$F$6:$F$78,$B30,'FullStack Plan'!$B$6:$B$78,"Yes",'FullStack Plan'!$L$6:$L$78,"Done"),2,1),""))</f>
        <v/>
      </c>
      <c r="O30" s="86" t="str">
        <f aca="false">IF($C30="","",IF(AND(O$5&gt;=$C30,O$5&lt;=$D30),IF(O$5&lt;$C30+COUNTIFS('FullStack Plan'!$F$6:$F$78,$B30,'FullStack Plan'!$B$6:$B$78,"Yes",'FullStack Plan'!$L$6:$L$78,"Done"),2,1),""))</f>
        <v/>
      </c>
      <c r="P30" s="86" t="str">
        <f aca="false">IF($C30="","",IF(AND(P$5&gt;=$C30,P$5&lt;=$D30),IF(P$5&lt;$C30+COUNTIFS('FullStack Plan'!$F$6:$F$78,$B30,'FullStack Plan'!$B$6:$B$78,"Yes",'FullStack Plan'!$L$6:$L$78,"Done"),2,1),""))</f>
        <v/>
      </c>
      <c r="Q30" s="86" t="str">
        <f aca="false">IF($C30="","",IF(AND(Q$5&gt;=$C30,Q$5&lt;=$D30),IF(Q$5&lt;$C30+COUNTIFS('FullStack Plan'!$F$6:$F$78,$B30,'FullStack Plan'!$B$6:$B$78,"Yes",'FullStack Plan'!$L$6:$L$78,"Done"),2,1),""))</f>
        <v/>
      </c>
      <c r="R30" s="86" t="str">
        <f aca="false">IF($C30="","",IF(AND(R$5&gt;=$C30,R$5&lt;=$D30),IF(R$5&lt;$C30+COUNTIFS('FullStack Plan'!$F$6:$F$78,$B30,'FullStack Plan'!$B$6:$B$78,"Yes",'FullStack Plan'!$L$6:$L$78,"Done"),2,1),""))</f>
        <v/>
      </c>
      <c r="S30" s="86" t="str">
        <f aca="false">IF($C30="","",IF(AND(S$5&gt;=$C30,S$5&lt;=$D30),IF(S$5&lt;$C30+COUNTIFS('FullStack Plan'!$F$6:$F$78,$B30,'FullStack Plan'!$B$6:$B$78,"Yes",'FullStack Plan'!$L$6:$L$78,"Done"),2,1),""))</f>
        <v/>
      </c>
      <c r="T30" s="86" t="str">
        <f aca="false">IF($C30="","",IF(AND(T$5&gt;=$C30,T$5&lt;=$D30),IF(T$5&lt;$C30+COUNTIFS('FullStack Plan'!$F$6:$F$78,$B30,'FullStack Plan'!$B$6:$B$78,"Yes",'FullStack Plan'!$L$6:$L$78,"Done"),2,1),""))</f>
        <v/>
      </c>
      <c r="U30" s="86" t="str">
        <f aca="false">IF($C30="","",IF(AND(U$5&gt;=$C30,U$5&lt;=$D30),IF(U$5&lt;$C30+COUNTIFS('FullStack Plan'!$F$6:$F$78,$B30,'FullStack Plan'!$B$6:$B$78,"Yes",'FullStack Plan'!$L$6:$L$78,"Done"),2,1),""))</f>
        <v/>
      </c>
      <c r="V30" s="86" t="str">
        <f aca="false">IF($C30="","",IF(AND(V$5&gt;=$C30,V$5&lt;=$D30),IF(V$5&lt;$C30+COUNTIFS('FullStack Plan'!$F$6:$F$78,$B30,'FullStack Plan'!$B$6:$B$78,"Yes",'FullStack Plan'!$L$6:$L$78,"Done"),2,1),""))</f>
        <v/>
      </c>
      <c r="W30" s="86" t="str">
        <f aca="false">IF($C30="","",IF(AND(W$5&gt;=$C30,W$5&lt;=$D30),IF(W$5&lt;$C30+COUNTIFS('FullStack Plan'!$F$6:$F$78,$B30,'FullStack Plan'!$B$6:$B$78,"Yes",'FullStack Plan'!$L$6:$L$78,"Done"),2,1),""))</f>
        <v/>
      </c>
      <c r="X30" s="86" t="str">
        <f aca="false">IF($C30="","",IF(AND(X$5&gt;=$C30,X$5&lt;=$D30),IF(X$5&lt;$C30+COUNTIFS('FullStack Plan'!$F$6:$F$78,$B30,'FullStack Plan'!$B$6:$B$78,"Yes",'FullStack Plan'!$L$6:$L$78,"Done"),2,1),""))</f>
        <v/>
      </c>
      <c r="Y30" s="86" t="str">
        <f aca="false">IF($C30="","",IF(AND(Y$5&gt;=$C30,Y$5&lt;=$D30),IF(Y$5&lt;$C30+COUNTIFS('FullStack Plan'!$F$6:$F$78,$B30,'FullStack Plan'!$B$6:$B$78,"Yes",'FullStack Plan'!$L$6:$L$78,"Done"),2,1),""))</f>
        <v/>
      </c>
      <c r="Z30" s="86" t="str">
        <f aca="false">IF($C30="","",IF(AND(Z$5&gt;=$C30,Z$5&lt;=$D30),IF(Z$5&lt;$C30+COUNTIFS('FullStack Plan'!$F$6:$F$78,$B30,'FullStack Plan'!$B$6:$B$78,"Yes",'FullStack Plan'!$L$6:$L$78,"Done"),2,1),""))</f>
        <v/>
      </c>
      <c r="AA30" s="86" t="str">
        <f aca="false">IF($C30="","",IF(AND(AA$5&gt;=$C30,AA$5&lt;=$D30),IF(AA$5&lt;$C30+COUNTIFS('FullStack Plan'!$F$6:$F$78,$B30,'FullStack Plan'!$B$6:$B$78,"Yes",'FullStack Plan'!$L$6:$L$78,"Done"),2,1),""))</f>
        <v/>
      </c>
      <c r="AB30" s="86" t="str">
        <f aca="false">IF($C30="","",IF(AND(AB$5&gt;=$C30,AB$5&lt;=$D30),IF(AB$5&lt;$C30+COUNTIFS('FullStack Plan'!$F$6:$F$78,$B30,'FullStack Plan'!$B$6:$B$78,"Yes",'FullStack Plan'!$L$6:$L$78,"Done"),2,1),""))</f>
        <v/>
      </c>
      <c r="AC30" s="86" t="str">
        <f aca="false">IF($C30="","",IF(AND(AC$5&gt;=$C30,AC$5&lt;=$D30),IF(AC$5&lt;$C30+COUNTIFS('FullStack Plan'!$F$6:$F$78,$B30,'FullStack Plan'!$B$6:$B$78,"Yes",'FullStack Plan'!$L$6:$L$78,"Done"),2,1),""))</f>
        <v/>
      </c>
      <c r="AD30" s="86" t="str">
        <f aca="false">IF($C30="","",IF(AND(AD$5&gt;=$C30,AD$5&lt;=$D30),IF(AD$5&lt;$C30+COUNTIFS('FullStack Plan'!$F$6:$F$78,$B30,'FullStack Plan'!$B$6:$B$78,"Yes",'FullStack Plan'!$L$6:$L$78,"Done"),2,1),""))</f>
        <v/>
      </c>
      <c r="AE30" s="86" t="str">
        <f aca="false">IF($C30="","",IF(AND(AE$5&gt;=$C30,AE$5&lt;=$D30),IF(AE$5&lt;$C30+COUNTIFS('FullStack Plan'!$F$6:$F$78,$B30,'FullStack Plan'!$B$6:$B$78,"Yes",'FullStack Plan'!$L$6:$L$78,"Done"),2,1),""))</f>
        <v/>
      </c>
      <c r="AF30" s="86" t="str">
        <f aca="false">IF($C30="","",IF(AND(AF$5&gt;=$C30,AF$5&lt;=$D30),IF(AF$5&lt;$C30+COUNTIFS('FullStack Plan'!$F$6:$F$78,$B30,'FullStack Plan'!$B$6:$B$78,"Yes",'FullStack Plan'!$L$6:$L$78,"Done"),2,1),""))</f>
        <v/>
      </c>
      <c r="AG30" s="86" t="str">
        <f aca="false">IF($C30="","",IF(AND(AG$5&gt;=$C30,AG$5&lt;=$D30),IF(AG$5&lt;$C30+COUNTIFS('FullStack Plan'!$F$6:$F$78,$B30,'FullStack Plan'!$B$6:$B$78,"Yes",'FullStack Plan'!$L$6:$L$78,"Done"),2,1),""))</f>
        <v/>
      </c>
      <c r="AH30" s="86" t="str">
        <f aca="false">IF($C30="","",IF(AND(AH$5&gt;=$C30,AH$5&lt;=$D30),IF(AH$5&lt;$C30+COUNTIFS('FullStack Plan'!$F$6:$F$78,$B30,'FullStack Plan'!$B$6:$B$78,"Yes",'FullStack Plan'!$L$6:$L$78,"Done"),2,1),""))</f>
        <v/>
      </c>
      <c r="AI30" s="86" t="str">
        <f aca="false">IF($C30="","",IF(AND(AI$5&gt;=$C30,AI$5&lt;=$D30),IF(AI$5&lt;$C30+COUNTIFS('FullStack Plan'!$F$6:$F$78,$B30,'FullStack Plan'!$B$6:$B$78,"Yes",'FullStack Plan'!$L$6:$L$78,"Done"),2,1),""))</f>
        <v/>
      </c>
      <c r="AJ30" s="86" t="str">
        <f aca="false">IF($C30="","",IF(AND(AJ$5&gt;=$C30,AJ$5&lt;=$D30),IF(AJ$5&lt;$C30+COUNTIFS('FullStack Plan'!$F$6:$F$78,$B30,'FullStack Plan'!$B$6:$B$78,"Yes",'FullStack Plan'!$L$6:$L$78,"Done"),2,1),""))</f>
        <v/>
      </c>
      <c r="AK30" s="86" t="str">
        <f aca="false">IF($C30="","",IF(AND(AK$5&gt;=$C30,AK$5&lt;=$D30),IF(AK$5&lt;$C30+COUNTIFS('FullStack Plan'!$F$6:$F$78,$B30,'FullStack Plan'!$B$6:$B$78,"Yes",'FullStack Plan'!$L$6:$L$78,"Done"),2,1),""))</f>
        <v/>
      </c>
      <c r="AL30" s="86" t="str">
        <f aca="false">IF($C30="","",IF(AND(AL$5&gt;=$C30,AL$5&lt;=$D30),IF(AL$5&lt;$C30+COUNTIFS('FullStack Plan'!$F$6:$F$78,$B30,'FullStack Plan'!$B$6:$B$78,"Yes",'FullStack Plan'!$L$6:$L$78,"Done"),2,1),""))</f>
        <v/>
      </c>
      <c r="AM30" s="86" t="str">
        <f aca="false">IF($C30="","",IF(AND(AM$5&gt;=$C30,AM$5&lt;=$D30),IF(AM$5&lt;$C30+COUNTIFS('FullStack Plan'!$F$6:$F$78,$B30,'FullStack Plan'!$B$6:$B$78,"Yes",'FullStack Plan'!$L$6:$L$78,"Done"),2,1),""))</f>
        <v/>
      </c>
      <c r="AN30" s="86" t="str">
        <f aca="false">IF($C30="","",IF(AND(AN$5&gt;=$C30,AN$5&lt;=$D30),IF(AN$5&lt;$C30+COUNTIFS('FullStack Plan'!$F$6:$F$78,$B30,'FullStack Plan'!$B$6:$B$78,"Yes",'FullStack Plan'!$L$6:$L$78,"Done"),2,1),""))</f>
        <v/>
      </c>
      <c r="AO30" s="86" t="str">
        <f aca="false">IF($C30="","",IF(AND(AO$5&gt;=$C30,AO$5&lt;=$D30),IF(AO$5&lt;$C30+COUNTIFS('FullStack Plan'!$F$6:$F$78,$B30,'FullStack Plan'!$B$6:$B$78,"Yes",'FullStack Plan'!$L$6:$L$78,"Done"),2,1),""))</f>
        <v/>
      </c>
      <c r="AP30" s="86" t="str">
        <f aca="false">IF($C30="","",IF(AND(AP$5&gt;=$C30,AP$5&lt;=$D30),IF(AP$5&lt;$C30+COUNTIFS('FullStack Plan'!$F$6:$F$78,$B30,'FullStack Plan'!$B$6:$B$78,"Yes",'FullStack Plan'!$L$6:$L$78,"Done"),2,1),""))</f>
        <v/>
      </c>
      <c r="AQ30" s="86" t="str">
        <f aca="false">IF($C30="","",IF(AND(AQ$5&gt;=$C30,AQ$5&lt;=$D30),IF(AQ$5&lt;$C30+COUNTIFS('FullStack Plan'!$F$6:$F$78,$B30,'FullStack Plan'!$B$6:$B$78,"Yes",'FullStack Plan'!$L$6:$L$78,"Done"),2,1),""))</f>
        <v/>
      </c>
    </row>
    <row r="31" customFormat="false" ht="18" hidden="false" customHeight="true" outlineLevel="0" collapsed="false">
      <c r="A31" s="84" t="s">
        <v>20</v>
      </c>
      <c r="B31" s="87" t="s">
        <v>119</v>
      </c>
      <c r="C31" s="84" t="str">
        <f aca="false">IF(COUNTIFS('FullStack Plan'!$F$6:$F$78,$B31,'FullStack Plan'!$B$6:$B$78,"Yes")=0,"",_xlfn.MINIFS('FullStack Plan'!$A$6:$A$78,'FullStack Plan'!$F$6:$F$78,$B31,'FullStack Plan'!$B$6:$B$78,"Yes"))</f>
        <v/>
      </c>
      <c r="D31" s="84" t="str">
        <f aca="false">IF(COUNTIFS('FullStack Plan'!$F$6:$F$78,$B31,'FullStack Plan'!$B$6:$B$78,"Yes")=0,"",_xlfn.MAXIFS('FullStack Plan'!$A$6:$A$78,'FullStack Plan'!$F$6:$F$78,$B31,'FullStack Plan'!$B$6:$B$78,"Yes"))</f>
        <v/>
      </c>
      <c r="E31" s="86" t="str">
        <f aca="false">IF($C31="","",IF(AND(E$5&gt;=$C31,E$5&lt;=$D31),IF(E$5&lt;$C31+COUNTIFS('FullStack Plan'!$F$6:$F$78,$B31,'FullStack Plan'!$B$6:$B$78,"Yes",'FullStack Plan'!$L$6:$L$78,"Done"),2,1),""))</f>
        <v/>
      </c>
      <c r="F31" s="86" t="str">
        <f aca="false">IF($C31="","",IF(AND(F$5&gt;=$C31,F$5&lt;=$D31),IF(F$5&lt;$C31+COUNTIFS('FullStack Plan'!$F$6:$F$78,$B31,'FullStack Plan'!$B$6:$B$78,"Yes",'FullStack Plan'!$L$6:$L$78,"Done"),2,1),""))</f>
        <v/>
      </c>
      <c r="G31" s="86" t="str">
        <f aca="false">IF($C31="","",IF(AND(G$5&gt;=$C31,G$5&lt;=$D31),IF(G$5&lt;$C31+COUNTIFS('FullStack Plan'!$F$6:$F$78,$B31,'FullStack Plan'!$B$6:$B$78,"Yes",'FullStack Plan'!$L$6:$L$78,"Done"),2,1),""))</f>
        <v/>
      </c>
      <c r="H31" s="86" t="str">
        <f aca="false">IF($C31="","",IF(AND(H$5&gt;=$C31,H$5&lt;=$D31),IF(H$5&lt;$C31+COUNTIFS('FullStack Plan'!$F$6:$F$78,$B31,'FullStack Plan'!$B$6:$B$78,"Yes",'FullStack Plan'!$L$6:$L$78,"Done"),2,1),""))</f>
        <v/>
      </c>
      <c r="I31" s="86" t="str">
        <f aca="false">IF($C31="","",IF(AND(I$5&gt;=$C31,I$5&lt;=$D31),IF(I$5&lt;$C31+COUNTIFS('FullStack Plan'!$F$6:$F$78,$B31,'FullStack Plan'!$B$6:$B$78,"Yes",'FullStack Plan'!$L$6:$L$78,"Done"),2,1),""))</f>
        <v/>
      </c>
      <c r="J31" s="86" t="str">
        <f aca="false">IF($C31="","",IF(AND(J$5&gt;=$C31,J$5&lt;=$D31),IF(J$5&lt;$C31+COUNTIFS('FullStack Plan'!$F$6:$F$78,$B31,'FullStack Plan'!$B$6:$B$78,"Yes",'FullStack Plan'!$L$6:$L$78,"Done"),2,1),""))</f>
        <v/>
      </c>
      <c r="K31" s="86" t="str">
        <f aca="false">IF($C31="","",IF(AND(K$5&gt;=$C31,K$5&lt;=$D31),IF(K$5&lt;$C31+COUNTIFS('FullStack Plan'!$F$6:$F$78,$B31,'FullStack Plan'!$B$6:$B$78,"Yes",'FullStack Plan'!$L$6:$L$78,"Done"),2,1),""))</f>
        <v/>
      </c>
      <c r="L31" s="86" t="str">
        <f aca="false">IF($C31="","",IF(AND(L$5&gt;=$C31,L$5&lt;=$D31),IF(L$5&lt;$C31+COUNTIFS('FullStack Plan'!$F$6:$F$78,$B31,'FullStack Plan'!$B$6:$B$78,"Yes",'FullStack Plan'!$L$6:$L$78,"Done"),2,1),""))</f>
        <v/>
      </c>
      <c r="M31" s="86" t="str">
        <f aca="false">IF($C31="","",IF(AND(M$5&gt;=$C31,M$5&lt;=$D31),IF(M$5&lt;$C31+COUNTIFS('FullStack Plan'!$F$6:$F$78,$B31,'FullStack Plan'!$B$6:$B$78,"Yes",'FullStack Plan'!$L$6:$L$78,"Done"),2,1),""))</f>
        <v/>
      </c>
      <c r="N31" s="86" t="str">
        <f aca="false">IF($C31="","",IF(AND(N$5&gt;=$C31,N$5&lt;=$D31),IF(N$5&lt;$C31+COUNTIFS('FullStack Plan'!$F$6:$F$78,$B31,'FullStack Plan'!$B$6:$B$78,"Yes",'FullStack Plan'!$L$6:$L$78,"Done"),2,1),""))</f>
        <v/>
      </c>
      <c r="O31" s="86" t="str">
        <f aca="false">IF($C31="","",IF(AND(O$5&gt;=$C31,O$5&lt;=$D31),IF(O$5&lt;$C31+COUNTIFS('FullStack Plan'!$F$6:$F$78,$B31,'FullStack Plan'!$B$6:$B$78,"Yes",'FullStack Plan'!$L$6:$L$78,"Done"),2,1),""))</f>
        <v/>
      </c>
      <c r="P31" s="86" t="str">
        <f aca="false">IF($C31="","",IF(AND(P$5&gt;=$C31,P$5&lt;=$D31),IF(P$5&lt;$C31+COUNTIFS('FullStack Plan'!$F$6:$F$78,$B31,'FullStack Plan'!$B$6:$B$78,"Yes",'FullStack Plan'!$L$6:$L$78,"Done"),2,1),""))</f>
        <v/>
      </c>
      <c r="Q31" s="86" t="str">
        <f aca="false">IF($C31="","",IF(AND(Q$5&gt;=$C31,Q$5&lt;=$D31),IF(Q$5&lt;$C31+COUNTIFS('FullStack Plan'!$F$6:$F$78,$B31,'FullStack Plan'!$B$6:$B$78,"Yes",'FullStack Plan'!$L$6:$L$78,"Done"),2,1),""))</f>
        <v/>
      </c>
      <c r="R31" s="86" t="str">
        <f aca="false">IF($C31="","",IF(AND(R$5&gt;=$C31,R$5&lt;=$D31),IF(R$5&lt;$C31+COUNTIFS('FullStack Plan'!$F$6:$F$78,$B31,'FullStack Plan'!$B$6:$B$78,"Yes",'FullStack Plan'!$L$6:$L$78,"Done"),2,1),""))</f>
        <v/>
      </c>
      <c r="S31" s="86" t="str">
        <f aca="false">IF($C31="","",IF(AND(S$5&gt;=$C31,S$5&lt;=$D31),IF(S$5&lt;$C31+COUNTIFS('FullStack Plan'!$F$6:$F$78,$B31,'FullStack Plan'!$B$6:$B$78,"Yes",'FullStack Plan'!$L$6:$L$78,"Done"),2,1),""))</f>
        <v/>
      </c>
      <c r="T31" s="86" t="str">
        <f aca="false">IF($C31="","",IF(AND(T$5&gt;=$C31,T$5&lt;=$D31),IF(T$5&lt;$C31+COUNTIFS('FullStack Plan'!$F$6:$F$78,$B31,'FullStack Plan'!$B$6:$B$78,"Yes",'FullStack Plan'!$L$6:$L$78,"Done"),2,1),""))</f>
        <v/>
      </c>
      <c r="U31" s="86" t="str">
        <f aca="false">IF($C31="","",IF(AND(U$5&gt;=$C31,U$5&lt;=$D31),IF(U$5&lt;$C31+COUNTIFS('FullStack Plan'!$F$6:$F$78,$B31,'FullStack Plan'!$B$6:$B$78,"Yes",'FullStack Plan'!$L$6:$L$78,"Done"),2,1),""))</f>
        <v/>
      </c>
      <c r="V31" s="86" t="str">
        <f aca="false">IF($C31="","",IF(AND(V$5&gt;=$C31,V$5&lt;=$D31),IF(V$5&lt;$C31+COUNTIFS('FullStack Plan'!$F$6:$F$78,$B31,'FullStack Plan'!$B$6:$B$78,"Yes",'FullStack Plan'!$L$6:$L$78,"Done"),2,1),""))</f>
        <v/>
      </c>
      <c r="W31" s="86" t="str">
        <f aca="false">IF($C31="","",IF(AND(W$5&gt;=$C31,W$5&lt;=$D31),IF(W$5&lt;$C31+COUNTIFS('FullStack Plan'!$F$6:$F$78,$B31,'FullStack Plan'!$B$6:$B$78,"Yes",'FullStack Plan'!$L$6:$L$78,"Done"),2,1),""))</f>
        <v/>
      </c>
      <c r="X31" s="86" t="str">
        <f aca="false">IF($C31="","",IF(AND(X$5&gt;=$C31,X$5&lt;=$D31),IF(X$5&lt;$C31+COUNTIFS('FullStack Plan'!$F$6:$F$78,$B31,'FullStack Plan'!$B$6:$B$78,"Yes",'FullStack Plan'!$L$6:$L$78,"Done"),2,1),""))</f>
        <v/>
      </c>
      <c r="Y31" s="86" t="str">
        <f aca="false">IF($C31="","",IF(AND(Y$5&gt;=$C31,Y$5&lt;=$D31),IF(Y$5&lt;$C31+COUNTIFS('FullStack Plan'!$F$6:$F$78,$B31,'FullStack Plan'!$B$6:$B$78,"Yes",'FullStack Plan'!$L$6:$L$78,"Done"),2,1),""))</f>
        <v/>
      </c>
      <c r="Z31" s="86" t="str">
        <f aca="false">IF($C31="","",IF(AND(Z$5&gt;=$C31,Z$5&lt;=$D31),IF(Z$5&lt;$C31+COUNTIFS('FullStack Plan'!$F$6:$F$78,$B31,'FullStack Plan'!$B$6:$B$78,"Yes",'FullStack Plan'!$L$6:$L$78,"Done"),2,1),""))</f>
        <v/>
      </c>
      <c r="AA31" s="86" t="str">
        <f aca="false">IF($C31="","",IF(AND(AA$5&gt;=$C31,AA$5&lt;=$D31),IF(AA$5&lt;$C31+COUNTIFS('FullStack Plan'!$F$6:$F$78,$B31,'FullStack Plan'!$B$6:$B$78,"Yes",'FullStack Plan'!$L$6:$L$78,"Done"),2,1),""))</f>
        <v/>
      </c>
      <c r="AB31" s="86" t="str">
        <f aca="false">IF($C31="","",IF(AND(AB$5&gt;=$C31,AB$5&lt;=$D31),IF(AB$5&lt;$C31+COUNTIFS('FullStack Plan'!$F$6:$F$78,$B31,'FullStack Plan'!$B$6:$B$78,"Yes",'FullStack Plan'!$L$6:$L$78,"Done"),2,1),""))</f>
        <v/>
      </c>
      <c r="AC31" s="86" t="str">
        <f aca="false">IF($C31="","",IF(AND(AC$5&gt;=$C31,AC$5&lt;=$D31),IF(AC$5&lt;$C31+COUNTIFS('FullStack Plan'!$F$6:$F$78,$B31,'FullStack Plan'!$B$6:$B$78,"Yes",'FullStack Plan'!$L$6:$L$78,"Done"),2,1),""))</f>
        <v/>
      </c>
      <c r="AD31" s="86" t="str">
        <f aca="false">IF($C31="","",IF(AND(AD$5&gt;=$C31,AD$5&lt;=$D31),IF(AD$5&lt;$C31+COUNTIFS('FullStack Plan'!$F$6:$F$78,$B31,'FullStack Plan'!$B$6:$B$78,"Yes",'FullStack Plan'!$L$6:$L$78,"Done"),2,1),""))</f>
        <v/>
      </c>
      <c r="AE31" s="86" t="str">
        <f aca="false">IF($C31="","",IF(AND(AE$5&gt;=$C31,AE$5&lt;=$D31),IF(AE$5&lt;$C31+COUNTIFS('FullStack Plan'!$F$6:$F$78,$B31,'FullStack Plan'!$B$6:$B$78,"Yes",'FullStack Plan'!$L$6:$L$78,"Done"),2,1),""))</f>
        <v/>
      </c>
      <c r="AF31" s="86" t="str">
        <f aca="false">IF($C31="","",IF(AND(AF$5&gt;=$C31,AF$5&lt;=$D31),IF(AF$5&lt;$C31+COUNTIFS('FullStack Plan'!$F$6:$F$78,$B31,'FullStack Plan'!$B$6:$B$78,"Yes",'FullStack Plan'!$L$6:$L$78,"Done"),2,1),""))</f>
        <v/>
      </c>
      <c r="AG31" s="86" t="str">
        <f aca="false">IF($C31="","",IF(AND(AG$5&gt;=$C31,AG$5&lt;=$D31),IF(AG$5&lt;$C31+COUNTIFS('FullStack Plan'!$F$6:$F$78,$B31,'FullStack Plan'!$B$6:$B$78,"Yes",'FullStack Plan'!$L$6:$L$78,"Done"),2,1),""))</f>
        <v/>
      </c>
      <c r="AH31" s="86" t="str">
        <f aca="false">IF($C31="","",IF(AND(AH$5&gt;=$C31,AH$5&lt;=$D31),IF(AH$5&lt;$C31+COUNTIFS('FullStack Plan'!$F$6:$F$78,$B31,'FullStack Plan'!$B$6:$B$78,"Yes",'FullStack Plan'!$L$6:$L$78,"Done"),2,1),""))</f>
        <v/>
      </c>
      <c r="AI31" s="86" t="str">
        <f aca="false">IF($C31="","",IF(AND(AI$5&gt;=$C31,AI$5&lt;=$D31),IF(AI$5&lt;$C31+COUNTIFS('FullStack Plan'!$F$6:$F$78,$B31,'FullStack Plan'!$B$6:$B$78,"Yes",'FullStack Plan'!$L$6:$L$78,"Done"),2,1),""))</f>
        <v/>
      </c>
      <c r="AJ31" s="86" t="str">
        <f aca="false">IF($C31="","",IF(AND(AJ$5&gt;=$C31,AJ$5&lt;=$D31),IF(AJ$5&lt;$C31+COUNTIFS('FullStack Plan'!$F$6:$F$78,$B31,'FullStack Plan'!$B$6:$B$78,"Yes",'FullStack Plan'!$L$6:$L$78,"Done"),2,1),""))</f>
        <v/>
      </c>
      <c r="AK31" s="86" t="str">
        <f aca="false">IF($C31="","",IF(AND(AK$5&gt;=$C31,AK$5&lt;=$D31),IF(AK$5&lt;$C31+COUNTIFS('FullStack Plan'!$F$6:$F$78,$B31,'FullStack Plan'!$B$6:$B$78,"Yes",'FullStack Plan'!$L$6:$L$78,"Done"),2,1),""))</f>
        <v/>
      </c>
      <c r="AL31" s="86" t="str">
        <f aca="false">IF($C31="","",IF(AND(AL$5&gt;=$C31,AL$5&lt;=$D31),IF(AL$5&lt;$C31+COUNTIFS('FullStack Plan'!$F$6:$F$78,$B31,'FullStack Plan'!$B$6:$B$78,"Yes",'FullStack Plan'!$L$6:$L$78,"Done"),2,1),""))</f>
        <v/>
      </c>
      <c r="AM31" s="86" t="str">
        <f aca="false">IF($C31="","",IF(AND(AM$5&gt;=$C31,AM$5&lt;=$D31),IF(AM$5&lt;$C31+COUNTIFS('FullStack Plan'!$F$6:$F$78,$B31,'FullStack Plan'!$B$6:$B$78,"Yes",'FullStack Plan'!$L$6:$L$78,"Done"),2,1),""))</f>
        <v/>
      </c>
      <c r="AN31" s="86" t="str">
        <f aca="false">IF($C31="","",IF(AND(AN$5&gt;=$C31,AN$5&lt;=$D31),IF(AN$5&lt;$C31+COUNTIFS('FullStack Plan'!$F$6:$F$78,$B31,'FullStack Plan'!$B$6:$B$78,"Yes",'FullStack Plan'!$L$6:$L$78,"Done"),2,1),""))</f>
        <v/>
      </c>
      <c r="AO31" s="86" t="str">
        <f aca="false">IF($C31="","",IF(AND(AO$5&gt;=$C31,AO$5&lt;=$D31),IF(AO$5&lt;$C31+COUNTIFS('FullStack Plan'!$F$6:$F$78,$B31,'FullStack Plan'!$B$6:$B$78,"Yes",'FullStack Plan'!$L$6:$L$78,"Done"),2,1),""))</f>
        <v/>
      </c>
      <c r="AP31" s="86" t="str">
        <f aca="false">IF($C31="","",IF(AND(AP$5&gt;=$C31,AP$5&lt;=$D31),IF(AP$5&lt;$C31+COUNTIFS('FullStack Plan'!$F$6:$F$78,$B31,'FullStack Plan'!$B$6:$B$78,"Yes",'FullStack Plan'!$L$6:$L$78,"Done"),2,1),""))</f>
        <v/>
      </c>
      <c r="AQ31" s="86" t="str">
        <f aca="false">IF($C31="","",IF(AND(AQ$5&gt;=$C31,AQ$5&lt;=$D31),IF(AQ$5&lt;$C31+COUNTIFS('FullStack Plan'!$F$6:$F$78,$B31,'FullStack Plan'!$B$6:$B$78,"Yes",'FullStack Plan'!$L$6:$L$78,"Done"),2,1),""))</f>
        <v/>
      </c>
    </row>
    <row r="32" customFormat="false" ht="18" hidden="false" customHeight="true" outlineLevel="0" collapsed="false">
      <c r="A32" s="84" t="s">
        <v>20</v>
      </c>
      <c r="B32" s="88" t="s">
        <v>120</v>
      </c>
      <c r="C32" s="84" t="n">
        <f aca="false">IF(COUNTIFS('FullStack Plan'!$F$6:$F$78,$B32,'FullStack Plan'!$B$6:$B$78,"Yes")=0,"",_xlfn.MINIFS('FullStack Plan'!$A$6:$A$78,'FullStack Plan'!$F$6:$F$78,$B32,'FullStack Plan'!$B$6:$B$78,"Yes"))</f>
        <v>3</v>
      </c>
      <c r="D32" s="84" t="n">
        <f aca="false">IF(COUNTIFS('FullStack Plan'!$F$6:$F$78,$B32,'FullStack Plan'!$B$6:$B$78,"Yes")=0,"",_xlfn.MAXIFS('FullStack Plan'!$A$6:$A$78,'FullStack Plan'!$F$6:$F$78,$B32,'FullStack Plan'!$B$6:$B$78,"Yes"))</f>
        <v>8</v>
      </c>
      <c r="E32" s="86" t="str">
        <f aca="false">IF($C32="","",IF(AND(E$5&gt;=$C32,E$5&lt;=$D32),IF(E$5&lt;$C32+COUNTIFS('FullStack Plan'!$F$6:$F$78,$B32,'FullStack Plan'!$B$6:$B$78,"Yes",'FullStack Plan'!$L$6:$L$78,"Done"),2,1),""))</f>
        <v/>
      </c>
      <c r="F32" s="86" t="str">
        <f aca="false">IF($C32="","",IF(AND(F$5&gt;=$C32,F$5&lt;=$D32),IF(F$5&lt;$C32+COUNTIFS('FullStack Plan'!$F$6:$F$78,$B32,'FullStack Plan'!$B$6:$B$78,"Yes",'FullStack Plan'!$L$6:$L$78,"Done"),2,1),""))</f>
        <v/>
      </c>
      <c r="G32" s="86" t="n">
        <f aca="false">IF($C32="","",IF(AND(G$5&gt;=$C32,G$5&lt;=$D32),IF(G$5&lt;$C32+COUNTIFS('FullStack Plan'!$F$6:$F$78,$B32,'FullStack Plan'!$B$6:$B$78,"Yes",'FullStack Plan'!$L$6:$L$78,"Done"),2,1),""))</f>
        <v>1</v>
      </c>
      <c r="H32" s="86" t="n">
        <f aca="false">IF($C32="","",IF(AND(H$5&gt;=$C32,H$5&lt;=$D32),IF(H$5&lt;$C32+COUNTIFS('FullStack Plan'!$F$6:$F$78,$B32,'FullStack Plan'!$B$6:$B$78,"Yes",'FullStack Plan'!$L$6:$L$78,"Done"),2,1),""))</f>
        <v>1</v>
      </c>
      <c r="I32" s="86" t="n">
        <f aca="false">IF($C32="","",IF(AND(I$5&gt;=$C32,I$5&lt;=$D32),IF(I$5&lt;$C32+COUNTIFS('FullStack Plan'!$F$6:$F$78,$B32,'FullStack Plan'!$B$6:$B$78,"Yes",'FullStack Plan'!$L$6:$L$78,"Done"),2,1),""))</f>
        <v>1</v>
      </c>
      <c r="J32" s="86" t="n">
        <f aca="false">IF($C32="","",IF(AND(J$5&gt;=$C32,J$5&lt;=$D32),IF(J$5&lt;$C32+COUNTIFS('FullStack Plan'!$F$6:$F$78,$B32,'FullStack Plan'!$B$6:$B$78,"Yes",'FullStack Plan'!$L$6:$L$78,"Done"),2,1),""))</f>
        <v>1</v>
      </c>
      <c r="K32" s="86" t="n">
        <f aca="false">IF($C32="","",IF(AND(K$5&gt;=$C32,K$5&lt;=$D32),IF(K$5&lt;$C32+COUNTIFS('FullStack Plan'!$F$6:$F$78,$B32,'FullStack Plan'!$B$6:$B$78,"Yes",'FullStack Plan'!$L$6:$L$78,"Done"),2,1),""))</f>
        <v>1</v>
      </c>
      <c r="L32" s="86" t="n">
        <f aca="false">IF($C32="","",IF(AND(L$5&gt;=$C32,L$5&lt;=$D32),IF(L$5&lt;$C32+COUNTIFS('FullStack Plan'!$F$6:$F$78,$B32,'FullStack Plan'!$B$6:$B$78,"Yes",'FullStack Plan'!$L$6:$L$78,"Done"),2,1),""))</f>
        <v>1</v>
      </c>
      <c r="M32" s="86" t="str">
        <f aca="false">IF($C32="","",IF(AND(M$5&gt;=$C32,M$5&lt;=$D32),IF(M$5&lt;$C32+COUNTIFS('FullStack Plan'!$F$6:$F$78,$B32,'FullStack Plan'!$B$6:$B$78,"Yes",'FullStack Plan'!$L$6:$L$78,"Done"),2,1),""))</f>
        <v/>
      </c>
      <c r="N32" s="86" t="str">
        <f aca="false">IF($C32="","",IF(AND(N$5&gt;=$C32,N$5&lt;=$D32),IF(N$5&lt;$C32+COUNTIFS('FullStack Plan'!$F$6:$F$78,$B32,'FullStack Plan'!$B$6:$B$78,"Yes",'FullStack Plan'!$L$6:$L$78,"Done"),2,1),""))</f>
        <v/>
      </c>
      <c r="O32" s="86" t="str">
        <f aca="false">IF($C32="","",IF(AND(O$5&gt;=$C32,O$5&lt;=$D32),IF(O$5&lt;$C32+COUNTIFS('FullStack Plan'!$F$6:$F$78,$B32,'FullStack Plan'!$B$6:$B$78,"Yes",'FullStack Plan'!$L$6:$L$78,"Done"),2,1),""))</f>
        <v/>
      </c>
      <c r="P32" s="86" t="str">
        <f aca="false">IF($C32="","",IF(AND(P$5&gt;=$C32,P$5&lt;=$D32),IF(P$5&lt;$C32+COUNTIFS('FullStack Plan'!$F$6:$F$78,$B32,'FullStack Plan'!$B$6:$B$78,"Yes",'FullStack Plan'!$L$6:$L$78,"Done"),2,1),""))</f>
        <v/>
      </c>
      <c r="Q32" s="86" t="str">
        <f aca="false">IF($C32="","",IF(AND(Q$5&gt;=$C32,Q$5&lt;=$D32),IF(Q$5&lt;$C32+COUNTIFS('FullStack Plan'!$F$6:$F$78,$B32,'FullStack Plan'!$B$6:$B$78,"Yes",'FullStack Plan'!$L$6:$L$78,"Done"),2,1),""))</f>
        <v/>
      </c>
      <c r="R32" s="86" t="str">
        <f aca="false">IF($C32="","",IF(AND(R$5&gt;=$C32,R$5&lt;=$D32),IF(R$5&lt;$C32+COUNTIFS('FullStack Plan'!$F$6:$F$78,$B32,'FullStack Plan'!$B$6:$B$78,"Yes",'FullStack Plan'!$L$6:$L$78,"Done"),2,1),""))</f>
        <v/>
      </c>
      <c r="S32" s="86" t="str">
        <f aca="false">IF($C32="","",IF(AND(S$5&gt;=$C32,S$5&lt;=$D32),IF(S$5&lt;$C32+COUNTIFS('FullStack Plan'!$F$6:$F$78,$B32,'FullStack Plan'!$B$6:$B$78,"Yes",'FullStack Plan'!$L$6:$L$78,"Done"),2,1),""))</f>
        <v/>
      </c>
      <c r="T32" s="86" t="str">
        <f aca="false">IF($C32="","",IF(AND(T$5&gt;=$C32,T$5&lt;=$D32),IF(T$5&lt;$C32+COUNTIFS('FullStack Plan'!$F$6:$F$78,$B32,'FullStack Plan'!$B$6:$B$78,"Yes",'FullStack Plan'!$L$6:$L$78,"Done"),2,1),""))</f>
        <v/>
      </c>
      <c r="U32" s="86" t="str">
        <f aca="false">IF($C32="","",IF(AND(U$5&gt;=$C32,U$5&lt;=$D32),IF(U$5&lt;$C32+COUNTIFS('FullStack Plan'!$F$6:$F$78,$B32,'FullStack Plan'!$B$6:$B$78,"Yes",'FullStack Plan'!$L$6:$L$78,"Done"),2,1),""))</f>
        <v/>
      </c>
      <c r="V32" s="86" t="str">
        <f aca="false">IF($C32="","",IF(AND(V$5&gt;=$C32,V$5&lt;=$D32),IF(V$5&lt;$C32+COUNTIFS('FullStack Plan'!$F$6:$F$78,$B32,'FullStack Plan'!$B$6:$B$78,"Yes",'FullStack Plan'!$L$6:$L$78,"Done"),2,1),""))</f>
        <v/>
      </c>
      <c r="W32" s="86" t="str">
        <f aca="false">IF($C32="","",IF(AND(W$5&gt;=$C32,W$5&lt;=$D32),IF(W$5&lt;$C32+COUNTIFS('FullStack Plan'!$F$6:$F$78,$B32,'FullStack Plan'!$B$6:$B$78,"Yes",'FullStack Plan'!$L$6:$L$78,"Done"),2,1),""))</f>
        <v/>
      </c>
      <c r="X32" s="86" t="str">
        <f aca="false">IF($C32="","",IF(AND(X$5&gt;=$C32,X$5&lt;=$D32),IF(X$5&lt;$C32+COUNTIFS('FullStack Plan'!$F$6:$F$78,$B32,'FullStack Plan'!$B$6:$B$78,"Yes",'FullStack Plan'!$L$6:$L$78,"Done"),2,1),""))</f>
        <v/>
      </c>
      <c r="Y32" s="86" t="str">
        <f aca="false">IF($C32="","",IF(AND(Y$5&gt;=$C32,Y$5&lt;=$D32),IF(Y$5&lt;$C32+COUNTIFS('FullStack Plan'!$F$6:$F$78,$B32,'FullStack Plan'!$B$6:$B$78,"Yes",'FullStack Plan'!$L$6:$L$78,"Done"),2,1),""))</f>
        <v/>
      </c>
      <c r="Z32" s="86" t="str">
        <f aca="false">IF($C32="","",IF(AND(Z$5&gt;=$C32,Z$5&lt;=$D32),IF(Z$5&lt;$C32+COUNTIFS('FullStack Plan'!$F$6:$F$78,$B32,'FullStack Plan'!$B$6:$B$78,"Yes",'FullStack Plan'!$L$6:$L$78,"Done"),2,1),""))</f>
        <v/>
      </c>
      <c r="AA32" s="86" t="str">
        <f aca="false">IF($C32="","",IF(AND(AA$5&gt;=$C32,AA$5&lt;=$D32),IF(AA$5&lt;$C32+COUNTIFS('FullStack Plan'!$F$6:$F$78,$B32,'FullStack Plan'!$B$6:$B$78,"Yes",'FullStack Plan'!$L$6:$L$78,"Done"),2,1),""))</f>
        <v/>
      </c>
      <c r="AB32" s="86" t="str">
        <f aca="false">IF($C32="","",IF(AND(AB$5&gt;=$C32,AB$5&lt;=$D32),IF(AB$5&lt;$C32+COUNTIFS('FullStack Plan'!$F$6:$F$78,$B32,'FullStack Plan'!$B$6:$B$78,"Yes",'FullStack Plan'!$L$6:$L$78,"Done"),2,1),""))</f>
        <v/>
      </c>
      <c r="AC32" s="86" t="str">
        <f aca="false">IF($C32="","",IF(AND(AC$5&gt;=$C32,AC$5&lt;=$D32),IF(AC$5&lt;$C32+COUNTIFS('FullStack Plan'!$F$6:$F$78,$B32,'FullStack Plan'!$B$6:$B$78,"Yes",'FullStack Plan'!$L$6:$L$78,"Done"),2,1),""))</f>
        <v/>
      </c>
      <c r="AD32" s="86" t="str">
        <f aca="false">IF($C32="","",IF(AND(AD$5&gt;=$C32,AD$5&lt;=$D32),IF(AD$5&lt;$C32+COUNTIFS('FullStack Plan'!$F$6:$F$78,$B32,'FullStack Plan'!$B$6:$B$78,"Yes",'FullStack Plan'!$L$6:$L$78,"Done"),2,1),""))</f>
        <v/>
      </c>
      <c r="AE32" s="86" t="str">
        <f aca="false">IF($C32="","",IF(AND(AE$5&gt;=$C32,AE$5&lt;=$D32),IF(AE$5&lt;$C32+COUNTIFS('FullStack Plan'!$F$6:$F$78,$B32,'FullStack Plan'!$B$6:$B$78,"Yes",'FullStack Plan'!$L$6:$L$78,"Done"),2,1),""))</f>
        <v/>
      </c>
      <c r="AF32" s="86" t="str">
        <f aca="false">IF($C32="","",IF(AND(AF$5&gt;=$C32,AF$5&lt;=$D32),IF(AF$5&lt;$C32+COUNTIFS('FullStack Plan'!$F$6:$F$78,$B32,'FullStack Plan'!$B$6:$B$78,"Yes",'FullStack Plan'!$L$6:$L$78,"Done"),2,1),""))</f>
        <v/>
      </c>
      <c r="AG32" s="86" t="str">
        <f aca="false">IF($C32="","",IF(AND(AG$5&gt;=$C32,AG$5&lt;=$D32),IF(AG$5&lt;$C32+COUNTIFS('FullStack Plan'!$F$6:$F$78,$B32,'FullStack Plan'!$B$6:$B$78,"Yes",'FullStack Plan'!$L$6:$L$78,"Done"),2,1),""))</f>
        <v/>
      </c>
      <c r="AH32" s="86" t="str">
        <f aca="false">IF($C32="","",IF(AND(AH$5&gt;=$C32,AH$5&lt;=$D32),IF(AH$5&lt;$C32+COUNTIFS('FullStack Plan'!$F$6:$F$78,$B32,'FullStack Plan'!$B$6:$B$78,"Yes",'FullStack Plan'!$L$6:$L$78,"Done"),2,1),""))</f>
        <v/>
      </c>
      <c r="AI32" s="86" t="str">
        <f aca="false">IF($C32="","",IF(AND(AI$5&gt;=$C32,AI$5&lt;=$D32),IF(AI$5&lt;$C32+COUNTIFS('FullStack Plan'!$F$6:$F$78,$B32,'FullStack Plan'!$B$6:$B$78,"Yes",'FullStack Plan'!$L$6:$L$78,"Done"),2,1),""))</f>
        <v/>
      </c>
      <c r="AJ32" s="86" t="str">
        <f aca="false">IF($C32="","",IF(AND(AJ$5&gt;=$C32,AJ$5&lt;=$D32),IF(AJ$5&lt;$C32+COUNTIFS('FullStack Plan'!$F$6:$F$78,$B32,'FullStack Plan'!$B$6:$B$78,"Yes",'FullStack Plan'!$L$6:$L$78,"Done"),2,1),""))</f>
        <v/>
      </c>
      <c r="AK32" s="86" t="str">
        <f aca="false">IF($C32="","",IF(AND(AK$5&gt;=$C32,AK$5&lt;=$D32),IF(AK$5&lt;$C32+COUNTIFS('FullStack Plan'!$F$6:$F$78,$B32,'FullStack Plan'!$B$6:$B$78,"Yes",'FullStack Plan'!$L$6:$L$78,"Done"),2,1),""))</f>
        <v/>
      </c>
      <c r="AL32" s="86" t="str">
        <f aca="false">IF($C32="","",IF(AND(AL$5&gt;=$C32,AL$5&lt;=$D32),IF(AL$5&lt;$C32+COUNTIFS('FullStack Plan'!$F$6:$F$78,$B32,'FullStack Plan'!$B$6:$B$78,"Yes",'FullStack Plan'!$L$6:$L$78,"Done"),2,1),""))</f>
        <v/>
      </c>
      <c r="AM32" s="86" t="str">
        <f aca="false">IF($C32="","",IF(AND(AM$5&gt;=$C32,AM$5&lt;=$D32),IF(AM$5&lt;$C32+COUNTIFS('FullStack Plan'!$F$6:$F$78,$B32,'FullStack Plan'!$B$6:$B$78,"Yes",'FullStack Plan'!$L$6:$L$78,"Done"),2,1),""))</f>
        <v/>
      </c>
      <c r="AN32" s="86" t="str">
        <f aca="false">IF($C32="","",IF(AND(AN$5&gt;=$C32,AN$5&lt;=$D32),IF(AN$5&lt;$C32+COUNTIFS('FullStack Plan'!$F$6:$F$78,$B32,'FullStack Plan'!$B$6:$B$78,"Yes",'FullStack Plan'!$L$6:$L$78,"Done"),2,1),""))</f>
        <v/>
      </c>
      <c r="AO32" s="86" t="str">
        <f aca="false">IF($C32="","",IF(AND(AO$5&gt;=$C32,AO$5&lt;=$D32),IF(AO$5&lt;$C32+COUNTIFS('FullStack Plan'!$F$6:$F$78,$B32,'FullStack Plan'!$B$6:$B$78,"Yes",'FullStack Plan'!$L$6:$L$78,"Done"),2,1),""))</f>
        <v/>
      </c>
      <c r="AP32" s="86" t="str">
        <f aca="false">IF($C32="","",IF(AND(AP$5&gt;=$C32,AP$5&lt;=$D32),IF(AP$5&lt;$C32+COUNTIFS('FullStack Plan'!$F$6:$F$78,$B32,'FullStack Plan'!$B$6:$B$78,"Yes",'FullStack Plan'!$L$6:$L$78,"Done"),2,1),""))</f>
        <v/>
      </c>
      <c r="AQ32" s="86" t="str">
        <f aca="false">IF($C32="","",IF(AND(AQ$5&gt;=$C32,AQ$5&lt;=$D32),IF(AQ$5&lt;$C32+COUNTIFS('FullStack Plan'!$F$6:$F$78,$B32,'FullStack Plan'!$B$6:$B$78,"Yes",'FullStack Plan'!$L$6:$L$78,"Done"),2,1),""))</f>
        <v/>
      </c>
    </row>
    <row r="33" customFormat="false" ht="18" hidden="false" customHeight="true" outlineLevel="0" collapsed="false">
      <c r="A33" s="84" t="s">
        <v>20</v>
      </c>
      <c r="B33" s="88" t="s">
        <v>121</v>
      </c>
      <c r="C33" s="84" t="n">
        <f aca="false">IF(COUNTIFS('FullStack Plan'!$F$6:$F$78,$B33,'FullStack Plan'!$B$6:$B$78,"Yes")=0,"",_xlfn.MINIFS('FullStack Plan'!$A$6:$A$78,'FullStack Plan'!$F$6:$F$78,$B33,'FullStack Plan'!$B$6:$B$78,"Yes"))</f>
        <v>9</v>
      </c>
      <c r="D33" s="84" t="n">
        <f aca="false">IF(COUNTIFS('FullStack Plan'!$F$6:$F$78,$B33,'FullStack Plan'!$B$6:$B$78,"Yes")=0,"",_xlfn.MAXIFS('FullStack Plan'!$A$6:$A$78,'FullStack Plan'!$F$6:$F$78,$B33,'FullStack Plan'!$B$6:$B$78,"Yes"))</f>
        <v>10</v>
      </c>
      <c r="E33" s="86" t="str">
        <f aca="false">IF($C33="","",IF(AND(E$5&gt;=$C33,E$5&lt;=$D33),IF(E$5&lt;$C33+COUNTIFS('FullStack Plan'!$F$6:$F$78,$B33,'FullStack Plan'!$B$6:$B$78,"Yes",'FullStack Plan'!$L$6:$L$78,"Done"),2,1),""))</f>
        <v/>
      </c>
      <c r="F33" s="86" t="str">
        <f aca="false">IF($C33="","",IF(AND(F$5&gt;=$C33,F$5&lt;=$D33),IF(F$5&lt;$C33+COUNTIFS('FullStack Plan'!$F$6:$F$78,$B33,'FullStack Plan'!$B$6:$B$78,"Yes",'FullStack Plan'!$L$6:$L$78,"Done"),2,1),""))</f>
        <v/>
      </c>
      <c r="G33" s="86" t="str">
        <f aca="false">IF($C33="","",IF(AND(G$5&gt;=$C33,G$5&lt;=$D33),IF(G$5&lt;$C33+COUNTIFS('FullStack Plan'!$F$6:$F$78,$B33,'FullStack Plan'!$B$6:$B$78,"Yes",'FullStack Plan'!$L$6:$L$78,"Done"),2,1),""))</f>
        <v/>
      </c>
      <c r="H33" s="86" t="str">
        <f aca="false">IF($C33="","",IF(AND(H$5&gt;=$C33,H$5&lt;=$D33),IF(H$5&lt;$C33+COUNTIFS('FullStack Plan'!$F$6:$F$78,$B33,'FullStack Plan'!$B$6:$B$78,"Yes",'FullStack Plan'!$L$6:$L$78,"Done"),2,1),""))</f>
        <v/>
      </c>
      <c r="I33" s="86" t="str">
        <f aca="false">IF($C33="","",IF(AND(I$5&gt;=$C33,I$5&lt;=$D33),IF(I$5&lt;$C33+COUNTIFS('FullStack Plan'!$F$6:$F$78,$B33,'FullStack Plan'!$B$6:$B$78,"Yes",'FullStack Plan'!$L$6:$L$78,"Done"),2,1),""))</f>
        <v/>
      </c>
      <c r="J33" s="86" t="str">
        <f aca="false">IF($C33="","",IF(AND(J$5&gt;=$C33,J$5&lt;=$D33),IF(J$5&lt;$C33+COUNTIFS('FullStack Plan'!$F$6:$F$78,$B33,'FullStack Plan'!$B$6:$B$78,"Yes",'FullStack Plan'!$L$6:$L$78,"Done"),2,1),""))</f>
        <v/>
      </c>
      <c r="K33" s="86" t="str">
        <f aca="false">IF($C33="","",IF(AND(K$5&gt;=$C33,K$5&lt;=$D33),IF(K$5&lt;$C33+COUNTIFS('FullStack Plan'!$F$6:$F$78,$B33,'FullStack Plan'!$B$6:$B$78,"Yes",'FullStack Plan'!$L$6:$L$78,"Done"),2,1),""))</f>
        <v/>
      </c>
      <c r="L33" s="86" t="str">
        <f aca="false">IF($C33="","",IF(AND(L$5&gt;=$C33,L$5&lt;=$D33),IF(L$5&lt;$C33+COUNTIFS('FullStack Plan'!$F$6:$F$78,$B33,'FullStack Plan'!$B$6:$B$78,"Yes",'FullStack Plan'!$L$6:$L$78,"Done"),2,1),""))</f>
        <v/>
      </c>
      <c r="M33" s="86" t="n">
        <f aca="false">IF($C33="","",IF(AND(M$5&gt;=$C33,M$5&lt;=$D33),IF(M$5&lt;$C33+COUNTIFS('FullStack Plan'!$F$6:$F$78,$B33,'FullStack Plan'!$B$6:$B$78,"Yes",'FullStack Plan'!$L$6:$L$78,"Done"),2,1),""))</f>
        <v>1</v>
      </c>
      <c r="N33" s="86" t="n">
        <f aca="false">IF($C33="","",IF(AND(N$5&gt;=$C33,N$5&lt;=$D33),IF(N$5&lt;$C33+COUNTIFS('FullStack Plan'!$F$6:$F$78,$B33,'FullStack Plan'!$B$6:$B$78,"Yes",'FullStack Plan'!$L$6:$L$78,"Done"),2,1),""))</f>
        <v>1</v>
      </c>
      <c r="O33" s="86" t="str">
        <f aca="false">IF($C33="","",IF(AND(O$5&gt;=$C33,O$5&lt;=$D33),IF(O$5&lt;$C33+COUNTIFS('FullStack Plan'!$F$6:$F$78,$B33,'FullStack Plan'!$B$6:$B$78,"Yes",'FullStack Plan'!$L$6:$L$78,"Done"),2,1),""))</f>
        <v/>
      </c>
      <c r="P33" s="86" t="str">
        <f aca="false">IF($C33="","",IF(AND(P$5&gt;=$C33,P$5&lt;=$D33),IF(P$5&lt;$C33+COUNTIFS('FullStack Plan'!$F$6:$F$78,$B33,'FullStack Plan'!$B$6:$B$78,"Yes",'FullStack Plan'!$L$6:$L$78,"Done"),2,1),""))</f>
        <v/>
      </c>
      <c r="Q33" s="86" t="str">
        <f aca="false">IF($C33="","",IF(AND(Q$5&gt;=$C33,Q$5&lt;=$D33),IF(Q$5&lt;$C33+COUNTIFS('FullStack Plan'!$F$6:$F$78,$B33,'FullStack Plan'!$B$6:$B$78,"Yes",'FullStack Plan'!$L$6:$L$78,"Done"),2,1),""))</f>
        <v/>
      </c>
      <c r="R33" s="86" t="str">
        <f aca="false">IF($C33="","",IF(AND(R$5&gt;=$C33,R$5&lt;=$D33),IF(R$5&lt;$C33+COUNTIFS('FullStack Plan'!$F$6:$F$78,$B33,'FullStack Plan'!$B$6:$B$78,"Yes",'FullStack Plan'!$L$6:$L$78,"Done"),2,1),""))</f>
        <v/>
      </c>
      <c r="S33" s="86" t="str">
        <f aca="false">IF($C33="","",IF(AND(S$5&gt;=$C33,S$5&lt;=$D33),IF(S$5&lt;$C33+COUNTIFS('FullStack Plan'!$F$6:$F$78,$B33,'FullStack Plan'!$B$6:$B$78,"Yes",'FullStack Plan'!$L$6:$L$78,"Done"),2,1),""))</f>
        <v/>
      </c>
      <c r="T33" s="86" t="str">
        <f aca="false">IF($C33="","",IF(AND(T$5&gt;=$C33,T$5&lt;=$D33),IF(T$5&lt;$C33+COUNTIFS('FullStack Plan'!$F$6:$F$78,$B33,'FullStack Plan'!$B$6:$B$78,"Yes",'FullStack Plan'!$L$6:$L$78,"Done"),2,1),""))</f>
        <v/>
      </c>
      <c r="U33" s="86" t="str">
        <f aca="false">IF($C33="","",IF(AND(U$5&gt;=$C33,U$5&lt;=$D33),IF(U$5&lt;$C33+COUNTIFS('FullStack Plan'!$F$6:$F$78,$B33,'FullStack Plan'!$B$6:$B$78,"Yes",'FullStack Plan'!$L$6:$L$78,"Done"),2,1),""))</f>
        <v/>
      </c>
      <c r="V33" s="86" t="str">
        <f aca="false">IF($C33="","",IF(AND(V$5&gt;=$C33,V$5&lt;=$D33),IF(V$5&lt;$C33+COUNTIFS('FullStack Plan'!$F$6:$F$78,$B33,'FullStack Plan'!$B$6:$B$78,"Yes",'FullStack Plan'!$L$6:$L$78,"Done"),2,1),""))</f>
        <v/>
      </c>
      <c r="W33" s="86" t="str">
        <f aca="false">IF($C33="","",IF(AND(W$5&gt;=$C33,W$5&lt;=$D33),IF(W$5&lt;$C33+COUNTIFS('FullStack Plan'!$F$6:$F$78,$B33,'FullStack Plan'!$B$6:$B$78,"Yes",'FullStack Plan'!$L$6:$L$78,"Done"),2,1),""))</f>
        <v/>
      </c>
      <c r="X33" s="86" t="str">
        <f aca="false">IF($C33="","",IF(AND(X$5&gt;=$C33,X$5&lt;=$D33),IF(X$5&lt;$C33+COUNTIFS('FullStack Plan'!$F$6:$F$78,$B33,'FullStack Plan'!$B$6:$B$78,"Yes",'FullStack Plan'!$L$6:$L$78,"Done"),2,1),""))</f>
        <v/>
      </c>
      <c r="Y33" s="86" t="str">
        <f aca="false">IF($C33="","",IF(AND(Y$5&gt;=$C33,Y$5&lt;=$D33),IF(Y$5&lt;$C33+COUNTIFS('FullStack Plan'!$F$6:$F$78,$B33,'FullStack Plan'!$B$6:$B$78,"Yes",'FullStack Plan'!$L$6:$L$78,"Done"),2,1),""))</f>
        <v/>
      </c>
      <c r="Z33" s="86" t="str">
        <f aca="false">IF($C33="","",IF(AND(Z$5&gt;=$C33,Z$5&lt;=$D33),IF(Z$5&lt;$C33+COUNTIFS('FullStack Plan'!$F$6:$F$78,$B33,'FullStack Plan'!$B$6:$B$78,"Yes",'FullStack Plan'!$L$6:$L$78,"Done"),2,1),""))</f>
        <v/>
      </c>
      <c r="AA33" s="86" t="str">
        <f aca="false">IF($C33="","",IF(AND(AA$5&gt;=$C33,AA$5&lt;=$D33),IF(AA$5&lt;$C33+COUNTIFS('FullStack Plan'!$F$6:$F$78,$B33,'FullStack Plan'!$B$6:$B$78,"Yes",'FullStack Plan'!$L$6:$L$78,"Done"),2,1),""))</f>
        <v/>
      </c>
      <c r="AB33" s="86" t="str">
        <f aca="false">IF($C33="","",IF(AND(AB$5&gt;=$C33,AB$5&lt;=$D33),IF(AB$5&lt;$C33+COUNTIFS('FullStack Plan'!$F$6:$F$78,$B33,'FullStack Plan'!$B$6:$B$78,"Yes",'FullStack Plan'!$L$6:$L$78,"Done"),2,1),""))</f>
        <v/>
      </c>
      <c r="AC33" s="86" t="str">
        <f aca="false">IF($C33="","",IF(AND(AC$5&gt;=$C33,AC$5&lt;=$D33),IF(AC$5&lt;$C33+COUNTIFS('FullStack Plan'!$F$6:$F$78,$B33,'FullStack Plan'!$B$6:$B$78,"Yes",'FullStack Plan'!$L$6:$L$78,"Done"),2,1),""))</f>
        <v/>
      </c>
      <c r="AD33" s="86" t="str">
        <f aca="false">IF($C33="","",IF(AND(AD$5&gt;=$C33,AD$5&lt;=$D33),IF(AD$5&lt;$C33+COUNTIFS('FullStack Plan'!$F$6:$F$78,$B33,'FullStack Plan'!$B$6:$B$78,"Yes",'FullStack Plan'!$L$6:$L$78,"Done"),2,1),""))</f>
        <v/>
      </c>
      <c r="AE33" s="86" t="str">
        <f aca="false">IF($C33="","",IF(AND(AE$5&gt;=$C33,AE$5&lt;=$D33),IF(AE$5&lt;$C33+COUNTIFS('FullStack Plan'!$F$6:$F$78,$B33,'FullStack Plan'!$B$6:$B$78,"Yes",'FullStack Plan'!$L$6:$L$78,"Done"),2,1),""))</f>
        <v/>
      </c>
      <c r="AF33" s="86" t="str">
        <f aca="false">IF($C33="","",IF(AND(AF$5&gt;=$C33,AF$5&lt;=$D33),IF(AF$5&lt;$C33+COUNTIFS('FullStack Plan'!$F$6:$F$78,$B33,'FullStack Plan'!$B$6:$B$78,"Yes",'FullStack Plan'!$L$6:$L$78,"Done"),2,1),""))</f>
        <v/>
      </c>
      <c r="AG33" s="86" t="str">
        <f aca="false">IF($C33="","",IF(AND(AG$5&gt;=$C33,AG$5&lt;=$D33),IF(AG$5&lt;$C33+COUNTIFS('FullStack Plan'!$F$6:$F$78,$B33,'FullStack Plan'!$B$6:$B$78,"Yes",'FullStack Plan'!$L$6:$L$78,"Done"),2,1),""))</f>
        <v/>
      </c>
      <c r="AH33" s="86" t="str">
        <f aca="false">IF($C33="","",IF(AND(AH$5&gt;=$C33,AH$5&lt;=$D33),IF(AH$5&lt;$C33+COUNTIFS('FullStack Plan'!$F$6:$F$78,$B33,'FullStack Plan'!$B$6:$B$78,"Yes",'FullStack Plan'!$L$6:$L$78,"Done"),2,1),""))</f>
        <v/>
      </c>
      <c r="AI33" s="86" t="str">
        <f aca="false">IF($C33="","",IF(AND(AI$5&gt;=$C33,AI$5&lt;=$D33),IF(AI$5&lt;$C33+COUNTIFS('FullStack Plan'!$F$6:$F$78,$B33,'FullStack Plan'!$B$6:$B$78,"Yes",'FullStack Plan'!$L$6:$L$78,"Done"),2,1),""))</f>
        <v/>
      </c>
      <c r="AJ33" s="86" t="str">
        <f aca="false">IF($C33="","",IF(AND(AJ$5&gt;=$C33,AJ$5&lt;=$D33),IF(AJ$5&lt;$C33+COUNTIFS('FullStack Plan'!$F$6:$F$78,$B33,'FullStack Plan'!$B$6:$B$78,"Yes",'FullStack Plan'!$L$6:$L$78,"Done"),2,1),""))</f>
        <v/>
      </c>
      <c r="AK33" s="86" t="str">
        <f aca="false">IF($C33="","",IF(AND(AK$5&gt;=$C33,AK$5&lt;=$D33),IF(AK$5&lt;$C33+COUNTIFS('FullStack Plan'!$F$6:$F$78,$B33,'FullStack Plan'!$B$6:$B$78,"Yes",'FullStack Plan'!$L$6:$L$78,"Done"),2,1),""))</f>
        <v/>
      </c>
      <c r="AL33" s="86" t="str">
        <f aca="false">IF($C33="","",IF(AND(AL$5&gt;=$C33,AL$5&lt;=$D33),IF(AL$5&lt;$C33+COUNTIFS('FullStack Plan'!$F$6:$F$78,$B33,'FullStack Plan'!$B$6:$B$78,"Yes",'FullStack Plan'!$L$6:$L$78,"Done"),2,1),""))</f>
        <v/>
      </c>
      <c r="AM33" s="86" t="str">
        <f aca="false">IF($C33="","",IF(AND(AM$5&gt;=$C33,AM$5&lt;=$D33),IF(AM$5&lt;$C33+COUNTIFS('FullStack Plan'!$F$6:$F$78,$B33,'FullStack Plan'!$B$6:$B$78,"Yes",'FullStack Plan'!$L$6:$L$78,"Done"),2,1),""))</f>
        <v/>
      </c>
      <c r="AN33" s="86" t="str">
        <f aca="false">IF($C33="","",IF(AND(AN$5&gt;=$C33,AN$5&lt;=$D33),IF(AN$5&lt;$C33+COUNTIFS('FullStack Plan'!$F$6:$F$78,$B33,'FullStack Plan'!$B$6:$B$78,"Yes",'FullStack Plan'!$L$6:$L$78,"Done"),2,1),""))</f>
        <v/>
      </c>
      <c r="AO33" s="86" t="str">
        <f aca="false">IF($C33="","",IF(AND(AO$5&gt;=$C33,AO$5&lt;=$D33),IF(AO$5&lt;$C33+COUNTIFS('FullStack Plan'!$F$6:$F$78,$B33,'FullStack Plan'!$B$6:$B$78,"Yes",'FullStack Plan'!$L$6:$L$78,"Done"),2,1),""))</f>
        <v/>
      </c>
      <c r="AP33" s="86" t="str">
        <f aca="false">IF($C33="","",IF(AND(AP$5&gt;=$C33,AP$5&lt;=$D33),IF(AP$5&lt;$C33+COUNTIFS('FullStack Plan'!$F$6:$F$78,$B33,'FullStack Plan'!$B$6:$B$78,"Yes",'FullStack Plan'!$L$6:$L$78,"Done"),2,1),""))</f>
        <v/>
      </c>
      <c r="AQ33" s="86" t="str">
        <f aca="false">IF($C33="","",IF(AND(AQ$5&gt;=$C33,AQ$5&lt;=$D33),IF(AQ$5&lt;$C33+COUNTIFS('FullStack Plan'!$F$6:$F$78,$B33,'FullStack Plan'!$B$6:$B$78,"Yes",'FullStack Plan'!$L$6:$L$78,"Done"),2,1),""))</f>
        <v/>
      </c>
    </row>
    <row r="34" customFormat="false" ht="18" hidden="false" customHeight="true" outlineLevel="0" collapsed="false">
      <c r="A34" s="84" t="s">
        <v>20</v>
      </c>
      <c r="B34" s="88" t="s">
        <v>122</v>
      </c>
      <c r="C34" s="84" t="str">
        <f aca="false">IF(COUNTIFS('FullStack Plan'!$F$6:$F$78,$B34,'FullStack Plan'!$B$6:$B$78,"Yes")=0,"",_xlfn.MINIFS('FullStack Plan'!$A$6:$A$78,'FullStack Plan'!$F$6:$F$78,$B34,'FullStack Plan'!$B$6:$B$78,"Yes"))</f>
        <v/>
      </c>
      <c r="D34" s="84" t="str">
        <f aca="false">IF(COUNTIFS('FullStack Plan'!$F$6:$F$78,$B34,'FullStack Plan'!$B$6:$B$78,"Yes")=0,"",_xlfn.MAXIFS('FullStack Plan'!$A$6:$A$78,'FullStack Plan'!$F$6:$F$78,$B34,'FullStack Plan'!$B$6:$B$78,"Yes"))</f>
        <v/>
      </c>
      <c r="E34" s="86" t="str">
        <f aca="false">IF($C34="","",IF(AND(E$5&gt;=$C34,E$5&lt;=$D34),IF(E$5&lt;$C34+COUNTIFS('FullStack Plan'!$F$6:$F$78,$B34,'FullStack Plan'!$B$6:$B$78,"Yes",'FullStack Plan'!$L$6:$L$78,"Done"),2,1),""))</f>
        <v/>
      </c>
      <c r="F34" s="86" t="str">
        <f aca="false">IF($C34="","",IF(AND(F$5&gt;=$C34,F$5&lt;=$D34),IF(F$5&lt;$C34+COUNTIFS('FullStack Plan'!$F$6:$F$78,$B34,'FullStack Plan'!$B$6:$B$78,"Yes",'FullStack Plan'!$L$6:$L$78,"Done"),2,1),""))</f>
        <v/>
      </c>
      <c r="G34" s="86" t="str">
        <f aca="false">IF($C34="","",IF(AND(G$5&gt;=$C34,G$5&lt;=$D34),IF(G$5&lt;$C34+COUNTIFS('FullStack Plan'!$F$6:$F$78,$B34,'FullStack Plan'!$B$6:$B$78,"Yes",'FullStack Plan'!$L$6:$L$78,"Done"),2,1),""))</f>
        <v/>
      </c>
      <c r="H34" s="86" t="str">
        <f aca="false">IF($C34="","",IF(AND(H$5&gt;=$C34,H$5&lt;=$D34),IF(H$5&lt;$C34+COUNTIFS('FullStack Plan'!$F$6:$F$78,$B34,'FullStack Plan'!$B$6:$B$78,"Yes",'FullStack Plan'!$L$6:$L$78,"Done"),2,1),""))</f>
        <v/>
      </c>
      <c r="I34" s="86" t="str">
        <f aca="false">IF($C34="","",IF(AND(I$5&gt;=$C34,I$5&lt;=$D34),IF(I$5&lt;$C34+COUNTIFS('FullStack Plan'!$F$6:$F$78,$B34,'FullStack Plan'!$B$6:$B$78,"Yes",'FullStack Plan'!$L$6:$L$78,"Done"),2,1),""))</f>
        <v/>
      </c>
      <c r="J34" s="86" t="str">
        <f aca="false">IF($C34="","",IF(AND(J$5&gt;=$C34,J$5&lt;=$D34),IF(J$5&lt;$C34+COUNTIFS('FullStack Plan'!$F$6:$F$78,$B34,'FullStack Plan'!$B$6:$B$78,"Yes",'FullStack Plan'!$L$6:$L$78,"Done"),2,1),""))</f>
        <v/>
      </c>
      <c r="K34" s="86" t="str">
        <f aca="false">IF($C34="","",IF(AND(K$5&gt;=$C34,K$5&lt;=$D34),IF(K$5&lt;$C34+COUNTIFS('FullStack Plan'!$F$6:$F$78,$B34,'FullStack Plan'!$B$6:$B$78,"Yes",'FullStack Plan'!$L$6:$L$78,"Done"),2,1),""))</f>
        <v/>
      </c>
      <c r="L34" s="86" t="str">
        <f aca="false">IF($C34="","",IF(AND(L$5&gt;=$C34,L$5&lt;=$D34),IF(L$5&lt;$C34+COUNTIFS('FullStack Plan'!$F$6:$F$78,$B34,'FullStack Plan'!$B$6:$B$78,"Yes",'FullStack Plan'!$L$6:$L$78,"Done"),2,1),""))</f>
        <v/>
      </c>
      <c r="M34" s="86" t="str">
        <f aca="false">IF($C34="","",IF(AND(M$5&gt;=$C34,M$5&lt;=$D34),IF(M$5&lt;$C34+COUNTIFS('FullStack Plan'!$F$6:$F$78,$B34,'FullStack Plan'!$B$6:$B$78,"Yes",'FullStack Plan'!$L$6:$L$78,"Done"),2,1),""))</f>
        <v/>
      </c>
      <c r="N34" s="86" t="str">
        <f aca="false">IF($C34="","",IF(AND(N$5&gt;=$C34,N$5&lt;=$D34),IF(N$5&lt;$C34+COUNTIFS('FullStack Plan'!$F$6:$F$78,$B34,'FullStack Plan'!$B$6:$B$78,"Yes",'FullStack Plan'!$L$6:$L$78,"Done"),2,1),""))</f>
        <v/>
      </c>
      <c r="O34" s="86" t="str">
        <f aca="false">IF($C34="","",IF(AND(O$5&gt;=$C34,O$5&lt;=$D34),IF(O$5&lt;$C34+COUNTIFS('FullStack Plan'!$F$6:$F$78,$B34,'FullStack Plan'!$B$6:$B$78,"Yes",'FullStack Plan'!$L$6:$L$78,"Done"),2,1),""))</f>
        <v/>
      </c>
      <c r="P34" s="86" t="str">
        <f aca="false">IF($C34="","",IF(AND(P$5&gt;=$C34,P$5&lt;=$D34),IF(P$5&lt;$C34+COUNTIFS('FullStack Plan'!$F$6:$F$78,$B34,'FullStack Plan'!$B$6:$B$78,"Yes",'FullStack Plan'!$L$6:$L$78,"Done"),2,1),""))</f>
        <v/>
      </c>
      <c r="Q34" s="86" t="str">
        <f aca="false">IF($C34="","",IF(AND(Q$5&gt;=$C34,Q$5&lt;=$D34),IF(Q$5&lt;$C34+COUNTIFS('FullStack Plan'!$F$6:$F$78,$B34,'FullStack Plan'!$B$6:$B$78,"Yes",'FullStack Plan'!$L$6:$L$78,"Done"),2,1),""))</f>
        <v/>
      </c>
      <c r="R34" s="86" t="str">
        <f aca="false">IF($C34="","",IF(AND(R$5&gt;=$C34,R$5&lt;=$D34),IF(R$5&lt;$C34+COUNTIFS('FullStack Plan'!$F$6:$F$78,$B34,'FullStack Plan'!$B$6:$B$78,"Yes",'FullStack Plan'!$L$6:$L$78,"Done"),2,1),""))</f>
        <v/>
      </c>
      <c r="S34" s="86" t="str">
        <f aca="false">IF($C34="","",IF(AND(S$5&gt;=$C34,S$5&lt;=$D34),IF(S$5&lt;$C34+COUNTIFS('FullStack Plan'!$F$6:$F$78,$B34,'FullStack Plan'!$B$6:$B$78,"Yes",'FullStack Plan'!$L$6:$L$78,"Done"),2,1),""))</f>
        <v/>
      </c>
      <c r="T34" s="86" t="str">
        <f aca="false">IF($C34="","",IF(AND(T$5&gt;=$C34,T$5&lt;=$D34),IF(T$5&lt;$C34+COUNTIFS('FullStack Plan'!$F$6:$F$78,$B34,'FullStack Plan'!$B$6:$B$78,"Yes",'FullStack Plan'!$L$6:$L$78,"Done"),2,1),""))</f>
        <v/>
      </c>
      <c r="U34" s="86" t="str">
        <f aca="false">IF($C34="","",IF(AND(U$5&gt;=$C34,U$5&lt;=$D34),IF(U$5&lt;$C34+COUNTIFS('FullStack Plan'!$F$6:$F$78,$B34,'FullStack Plan'!$B$6:$B$78,"Yes",'FullStack Plan'!$L$6:$L$78,"Done"),2,1),""))</f>
        <v/>
      </c>
      <c r="V34" s="86" t="str">
        <f aca="false">IF($C34="","",IF(AND(V$5&gt;=$C34,V$5&lt;=$D34),IF(V$5&lt;$C34+COUNTIFS('FullStack Plan'!$F$6:$F$78,$B34,'FullStack Plan'!$B$6:$B$78,"Yes",'FullStack Plan'!$L$6:$L$78,"Done"),2,1),""))</f>
        <v/>
      </c>
      <c r="W34" s="86" t="str">
        <f aca="false">IF($C34="","",IF(AND(W$5&gt;=$C34,W$5&lt;=$D34),IF(W$5&lt;$C34+COUNTIFS('FullStack Plan'!$F$6:$F$78,$B34,'FullStack Plan'!$B$6:$B$78,"Yes",'FullStack Plan'!$L$6:$L$78,"Done"),2,1),""))</f>
        <v/>
      </c>
      <c r="X34" s="86" t="str">
        <f aca="false">IF($C34="","",IF(AND(X$5&gt;=$C34,X$5&lt;=$D34),IF(X$5&lt;$C34+COUNTIFS('FullStack Plan'!$F$6:$F$78,$B34,'FullStack Plan'!$B$6:$B$78,"Yes",'FullStack Plan'!$L$6:$L$78,"Done"),2,1),""))</f>
        <v/>
      </c>
      <c r="Y34" s="86" t="str">
        <f aca="false">IF($C34="","",IF(AND(Y$5&gt;=$C34,Y$5&lt;=$D34),IF(Y$5&lt;$C34+COUNTIFS('FullStack Plan'!$F$6:$F$78,$B34,'FullStack Plan'!$B$6:$B$78,"Yes",'FullStack Plan'!$L$6:$L$78,"Done"),2,1),""))</f>
        <v/>
      </c>
      <c r="Z34" s="86" t="str">
        <f aca="false">IF($C34="","",IF(AND(Z$5&gt;=$C34,Z$5&lt;=$D34),IF(Z$5&lt;$C34+COUNTIFS('FullStack Plan'!$F$6:$F$78,$B34,'FullStack Plan'!$B$6:$B$78,"Yes",'FullStack Plan'!$L$6:$L$78,"Done"),2,1),""))</f>
        <v/>
      </c>
      <c r="AA34" s="86" t="str">
        <f aca="false">IF($C34="","",IF(AND(AA$5&gt;=$C34,AA$5&lt;=$D34),IF(AA$5&lt;$C34+COUNTIFS('FullStack Plan'!$F$6:$F$78,$B34,'FullStack Plan'!$B$6:$B$78,"Yes",'FullStack Plan'!$L$6:$L$78,"Done"),2,1),""))</f>
        <v/>
      </c>
      <c r="AB34" s="86" t="str">
        <f aca="false">IF($C34="","",IF(AND(AB$5&gt;=$C34,AB$5&lt;=$D34),IF(AB$5&lt;$C34+COUNTIFS('FullStack Plan'!$F$6:$F$78,$B34,'FullStack Plan'!$B$6:$B$78,"Yes",'FullStack Plan'!$L$6:$L$78,"Done"),2,1),""))</f>
        <v/>
      </c>
      <c r="AC34" s="86" t="str">
        <f aca="false">IF($C34="","",IF(AND(AC$5&gt;=$C34,AC$5&lt;=$D34),IF(AC$5&lt;$C34+COUNTIFS('FullStack Plan'!$F$6:$F$78,$B34,'FullStack Plan'!$B$6:$B$78,"Yes",'FullStack Plan'!$L$6:$L$78,"Done"),2,1),""))</f>
        <v/>
      </c>
      <c r="AD34" s="86" t="str">
        <f aca="false">IF($C34="","",IF(AND(AD$5&gt;=$C34,AD$5&lt;=$D34),IF(AD$5&lt;$C34+COUNTIFS('FullStack Plan'!$F$6:$F$78,$B34,'FullStack Plan'!$B$6:$B$78,"Yes",'FullStack Plan'!$L$6:$L$78,"Done"),2,1),""))</f>
        <v/>
      </c>
      <c r="AE34" s="86" t="str">
        <f aca="false">IF($C34="","",IF(AND(AE$5&gt;=$C34,AE$5&lt;=$D34),IF(AE$5&lt;$C34+COUNTIFS('FullStack Plan'!$F$6:$F$78,$B34,'FullStack Plan'!$B$6:$B$78,"Yes",'FullStack Plan'!$L$6:$L$78,"Done"),2,1),""))</f>
        <v/>
      </c>
      <c r="AF34" s="86" t="str">
        <f aca="false">IF($C34="","",IF(AND(AF$5&gt;=$C34,AF$5&lt;=$D34),IF(AF$5&lt;$C34+COUNTIFS('FullStack Plan'!$F$6:$F$78,$B34,'FullStack Plan'!$B$6:$B$78,"Yes",'FullStack Plan'!$L$6:$L$78,"Done"),2,1),""))</f>
        <v/>
      </c>
      <c r="AG34" s="86" t="str">
        <f aca="false">IF($C34="","",IF(AND(AG$5&gt;=$C34,AG$5&lt;=$D34),IF(AG$5&lt;$C34+COUNTIFS('FullStack Plan'!$F$6:$F$78,$B34,'FullStack Plan'!$B$6:$B$78,"Yes",'FullStack Plan'!$L$6:$L$78,"Done"),2,1),""))</f>
        <v/>
      </c>
      <c r="AH34" s="86" t="str">
        <f aca="false">IF($C34="","",IF(AND(AH$5&gt;=$C34,AH$5&lt;=$D34),IF(AH$5&lt;$C34+COUNTIFS('FullStack Plan'!$F$6:$F$78,$B34,'FullStack Plan'!$B$6:$B$78,"Yes",'FullStack Plan'!$L$6:$L$78,"Done"),2,1),""))</f>
        <v/>
      </c>
      <c r="AI34" s="86" t="str">
        <f aca="false">IF($C34="","",IF(AND(AI$5&gt;=$C34,AI$5&lt;=$D34),IF(AI$5&lt;$C34+COUNTIFS('FullStack Plan'!$F$6:$F$78,$B34,'FullStack Plan'!$B$6:$B$78,"Yes",'FullStack Plan'!$L$6:$L$78,"Done"),2,1),""))</f>
        <v/>
      </c>
      <c r="AJ34" s="86" t="str">
        <f aca="false">IF($C34="","",IF(AND(AJ$5&gt;=$C34,AJ$5&lt;=$D34),IF(AJ$5&lt;$C34+COUNTIFS('FullStack Plan'!$F$6:$F$78,$B34,'FullStack Plan'!$B$6:$B$78,"Yes",'FullStack Plan'!$L$6:$L$78,"Done"),2,1),""))</f>
        <v/>
      </c>
      <c r="AK34" s="86" t="str">
        <f aca="false">IF($C34="","",IF(AND(AK$5&gt;=$C34,AK$5&lt;=$D34),IF(AK$5&lt;$C34+COUNTIFS('FullStack Plan'!$F$6:$F$78,$B34,'FullStack Plan'!$B$6:$B$78,"Yes",'FullStack Plan'!$L$6:$L$78,"Done"),2,1),""))</f>
        <v/>
      </c>
      <c r="AL34" s="86" t="str">
        <f aca="false">IF($C34="","",IF(AND(AL$5&gt;=$C34,AL$5&lt;=$D34),IF(AL$5&lt;$C34+COUNTIFS('FullStack Plan'!$F$6:$F$78,$B34,'FullStack Plan'!$B$6:$B$78,"Yes",'FullStack Plan'!$L$6:$L$78,"Done"),2,1),""))</f>
        <v/>
      </c>
      <c r="AM34" s="86" t="str">
        <f aca="false">IF($C34="","",IF(AND(AM$5&gt;=$C34,AM$5&lt;=$D34),IF(AM$5&lt;$C34+COUNTIFS('FullStack Plan'!$F$6:$F$78,$B34,'FullStack Plan'!$B$6:$B$78,"Yes",'FullStack Plan'!$L$6:$L$78,"Done"),2,1),""))</f>
        <v/>
      </c>
      <c r="AN34" s="86" t="str">
        <f aca="false">IF($C34="","",IF(AND(AN$5&gt;=$C34,AN$5&lt;=$D34),IF(AN$5&lt;$C34+COUNTIFS('FullStack Plan'!$F$6:$F$78,$B34,'FullStack Plan'!$B$6:$B$78,"Yes",'FullStack Plan'!$L$6:$L$78,"Done"),2,1),""))</f>
        <v/>
      </c>
      <c r="AO34" s="86" t="str">
        <f aca="false">IF($C34="","",IF(AND(AO$5&gt;=$C34,AO$5&lt;=$D34),IF(AO$5&lt;$C34+COUNTIFS('FullStack Plan'!$F$6:$F$78,$B34,'FullStack Plan'!$B$6:$B$78,"Yes",'FullStack Plan'!$L$6:$L$78,"Done"),2,1),""))</f>
        <v/>
      </c>
      <c r="AP34" s="86" t="str">
        <f aca="false">IF($C34="","",IF(AND(AP$5&gt;=$C34,AP$5&lt;=$D34),IF(AP$5&lt;$C34+COUNTIFS('FullStack Plan'!$F$6:$F$78,$B34,'FullStack Plan'!$B$6:$B$78,"Yes",'FullStack Plan'!$L$6:$L$78,"Done"),2,1),""))</f>
        <v/>
      </c>
      <c r="AQ34" s="86" t="str">
        <f aca="false">IF($C34="","",IF(AND(AQ$5&gt;=$C34,AQ$5&lt;=$D34),IF(AQ$5&lt;$C34+COUNTIFS('FullStack Plan'!$F$6:$F$78,$B34,'FullStack Plan'!$B$6:$B$78,"Yes",'FullStack Plan'!$L$6:$L$78,"Done"),2,1),""))</f>
        <v/>
      </c>
    </row>
    <row r="35" customFormat="false" ht="18" hidden="false" customHeight="true" outlineLevel="0" collapsed="false">
      <c r="A35" s="84" t="s">
        <v>20</v>
      </c>
      <c r="B35" s="89" t="s">
        <v>123</v>
      </c>
      <c r="C35" s="84" t="n">
        <f aca="false">IF(COUNTIFS('FullStack Plan'!$F$6:$F$78,$B35,'FullStack Plan'!$B$6:$B$78,"Yes")=0,"",_xlfn.MINIFS('FullStack Plan'!$A$6:$A$78,'FullStack Plan'!$F$6:$F$78,$B35,'FullStack Plan'!$B$6:$B$78,"Yes"))</f>
        <v>11</v>
      </c>
      <c r="D35" s="84" t="n">
        <f aca="false">IF(COUNTIFS('FullStack Plan'!$F$6:$F$78,$B35,'FullStack Plan'!$B$6:$B$78,"Yes")=0,"",_xlfn.MAXIFS('FullStack Plan'!$A$6:$A$78,'FullStack Plan'!$F$6:$F$78,$B35,'FullStack Plan'!$B$6:$B$78,"Yes"))</f>
        <v>14</v>
      </c>
      <c r="E35" s="86" t="str">
        <f aca="false">IF($C35="","",IF(AND(E$5&gt;=$C35,E$5&lt;=$D35),IF(E$5&lt;$C35+COUNTIFS('FullStack Plan'!$F$6:$F$78,$B35,'FullStack Plan'!$B$6:$B$78,"Yes",'FullStack Plan'!$L$6:$L$78,"Done"),2,1),""))</f>
        <v/>
      </c>
      <c r="F35" s="86" t="str">
        <f aca="false">IF($C35="","",IF(AND(F$5&gt;=$C35,F$5&lt;=$D35),IF(F$5&lt;$C35+COUNTIFS('FullStack Plan'!$F$6:$F$78,$B35,'FullStack Plan'!$B$6:$B$78,"Yes",'FullStack Plan'!$L$6:$L$78,"Done"),2,1),""))</f>
        <v/>
      </c>
      <c r="G35" s="86" t="str">
        <f aca="false">IF($C35="","",IF(AND(G$5&gt;=$C35,G$5&lt;=$D35),IF(G$5&lt;$C35+COUNTIFS('FullStack Plan'!$F$6:$F$78,$B35,'FullStack Plan'!$B$6:$B$78,"Yes",'FullStack Plan'!$L$6:$L$78,"Done"),2,1),""))</f>
        <v/>
      </c>
      <c r="H35" s="86" t="str">
        <f aca="false">IF($C35="","",IF(AND(H$5&gt;=$C35,H$5&lt;=$D35),IF(H$5&lt;$C35+COUNTIFS('FullStack Plan'!$F$6:$F$78,$B35,'FullStack Plan'!$B$6:$B$78,"Yes",'FullStack Plan'!$L$6:$L$78,"Done"),2,1),""))</f>
        <v/>
      </c>
      <c r="I35" s="86" t="str">
        <f aca="false">IF($C35="","",IF(AND(I$5&gt;=$C35,I$5&lt;=$D35),IF(I$5&lt;$C35+COUNTIFS('FullStack Plan'!$F$6:$F$78,$B35,'FullStack Plan'!$B$6:$B$78,"Yes",'FullStack Plan'!$L$6:$L$78,"Done"),2,1),""))</f>
        <v/>
      </c>
      <c r="J35" s="86" t="str">
        <f aca="false">IF($C35="","",IF(AND(J$5&gt;=$C35,J$5&lt;=$D35),IF(J$5&lt;$C35+COUNTIFS('FullStack Plan'!$F$6:$F$78,$B35,'FullStack Plan'!$B$6:$B$78,"Yes",'FullStack Plan'!$L$6:$L$78,"Done"),2,1),""))</f>
        <v/>
      </c>
      <c r="K35" s="86" t="str">
        <f aca="false">IF($C35="","",IF(AND(K$5&gt;=$C35,K$5&lt;=$D35),IF(K$5&lt;$C35+COUNTIFS('FullStack Plan'!$F$6:$F$78,$B35,'FullStack Plan'!$B$6:$B$78,"Yes",'FullStack Plan'!$L$6:$L$78,"Done"),2,1),""))</f>
        <v/>
      </c>
      <c r="L35" s="86" t="str">
        <f aca="false">IF($C35="","",IF(AND(L$5&gt;=$C35,L$5&lt;=$D35),IF(L$5&lt;$C35+COUNTIFS('FullStack Plan'!$F$6:$F$78,$B35,'FullStack Plan'!$B$6:$B$78,"Yes",'FullStack Plan'!$L$6:$L$78,"Done"),2,1),""))</f>
        <v/>
      </c>
      <c r="M35" s="86" t="str">
        <f aca="false">IF($C35="","",IF(AND(M$5&gt;=$C35,M$5&lt;=$D35),IF(M$5&lt;$C35+COUNTIFS('FullStack Plan'!$F$6:$F$78,$B35,'FullStack Plan'!$B$6:$B$78,"Yes",'FullStack Plan'!$L$6:$L$78,"Done"),2,1),""))</f>
        <v/>
      </c>
      <c r="N35" s="86" t="str">
        <f aca="false">IF($C35="","",IF(AND(N$5&gt;=$C35,N$5&lt;=$D35),IF(N$5&lt;$C35+COUNTIFS('FullStack Plan'!$F$6:$F$78,$B35,'FullStack Plan'!$B$6:$B$78,"Yes",'FullStack Plan'!$L$6:$L$78,"Done"),2,1),""))</f>
        <v/>
      </c>
      <c r="O35" s="86" t="n">
        <f aca="false">IF($C35="","",IF(AND(O$5&gt;=$C35,O$5&lt;=$D35),IF(O$5&lt;$C35+COUNTIFS('FullStack Plan'!$F$6:$F$78,$B35,'FullStack Plan'!$B$6:$B$78,"Yes",'FullStack Plan'!$L$6:$L$78,"Done"),2,1),""))</f>
        <v>1</v>
      </c>
      <c r="P35" s="86" t="n">
        <f aca="false">IF($C35="","",IF(AND(P$5&gt;=$C35,P$5&lt;=$D35),IF(P$5&lt;$C35+COUNTIFS('FullStack Plan'!$F$6:$F$78,$B35,'FullStack Plan'!$B$6:$B$78,"Yes",'FullStack Plan'!$L$6:$L$78,"Done"),2,1),""))</f>
        <v>1</v>
      </c>
      <c r="Q35" s="86" t="n">
        <f aca="false">IF($C35="","",IF(AND(Q$5&gt;=$C35,Q$5&lt;=$D35),IF(Q$5&lt;$C35+COUNTIFS('FullStack Plan'!$F$6:$F$78,$B35,'FullStack Plan'!$B$6:$B$78,"Yes",'FullStack Plan'!$L$6:$L$78,"Done"),2,1),""))</f>
        <v>1</v>
      </c>
      <c r="R35" s="86" t="n">
        <f aca="false">IF($C35="","",IF(AND(R$5&gt;=$C35,R$5&lt;=$D35),IF(R$5&lt;$C35+COUNTIFS('FullStack Plan'!$F$6:$F$78,$B35,'FullStack Plan'!$B$6:$B$78,"Yes",'FullStack Plan'!$L$6:$L$78,"Done"),2,1),""))</f>
        <v>1</v>
      </c>
      <c r="S35" s="86" t="str">
        <f aca="false">IF($C35="","",IF(AND(S$5&gt;=$C35,S$5&lt;=$D35),IF(S$5&lt;$C35+COUNTIFS('FullStack Plan'!$F$6:$F$78,$B35,'FullStack Plan'!$B$6:$B$78,"Yes",'FullStack Plan'!$L$6:$L$78,"Done"),2,1),""))</f>
        <v/>
      </c>
      <c r="T35" s="86" t="str">
        <f aca="false">IF($C35="","",IF(AND(T$5&gt;=$C35,T$5&lt;=$D35),IF(T$5&lt;$C35+COUNTIFS('FullStack Plan'!$F$6:$F$78,$B35,'FullStack Plan'!$B$6:$B$78,"Yes",'FullStack Plan'!$L$6:$L$78,"Done"),2,1),""))</f>
        <v/>
      </c>
      <c r="U35" s="86" t="str">
        <f aca="false">IF($C35="","",IF(AND(U$5&gt;=$C35,U$5&lt;=$D35),IF(U$5&lt;$C35+COUNTIFS('FullStack Plan'!$F$6:$F$78,$B35,'FullStack Plan'!$B$6:$B$78,"Yes",'FullStack Plan'!$L$6:$L$78,"Done"),2,1),""))</f>
        <v/>
      </c>
      <c r="V35" s="86" t="str">
        <f aca="false">IF($C35="","",IF(AND(V$5&gt;=$C35,V$5&lt;=$D35),IF(V$5&lt;$C35+COUNTIFS('FullStack Plan'!$F$6:$F$78,$B35,'FullStack Plan'!$B$6:$B$78,"Yes",'FullStack Plan'!$L$6:$L$78,"Done"),2,1),""))</f>
        <v/>
      </c>
      <c r="W35" s="86" t="str">
        <f aca="false">IF($C35="","",IF(AND(W$5&gt;=$C35,W$5&lt;=$D35),IF(W$5&lt;$C35+COUNTIFS('FullStack Plan'!$F$6:$F$78,$B35,'FullStack Plan'!$B$6:$B$78,"Yes",'FullStack Plan'!$L$6:$L$78,"Done"),2,1),""))</f>
        <v/>
      </c>
      <c r="X35" s="86" t="str">
        <f aca="false">IF($C35="","",IF(AND(X$5&gt;=$C35,X$5&lt;=$D35),IF(X$5&lt;$C35+COUNTIFS('FullStack Plan'!$F$6:$F$78,$B35,'FullStack Plan'!$B$6:$B$78,"Yes",'FullStack Plan'!$L$6:$L$78,"Done"),2,1),""))</f>
        <v/>
      </c>
      <c r="Y35" s="86" t="str">
        <f aca="false">IF($C35="","",IF(AND(Y$5&gt;=$C35,Y$5&lt;=$D35),IF(Y$5&lt;$C35+COUNTIFS('FullStack Plan'!$F$6:$F$78,$B35,'FullStack Plan'!$B$6:$B$78,"Yes",'FullStack Plan'!$L$6:$L$78,"Done"),2,1),""))</f>
        <v/>
      </c>
      <c r="Z35" s="86" t="str">
        <f aca="false">IF($C35="","",IF(AND(Z$5&gt;=$C35,Z$5&lt;=$D35),IF(Z$5&lt;$C35+COUNTIFS('FullStack Plan'!$F$6:$F$78,$B35,'FullStack Plan'!$B$6:$B$78,"Yes",'FullStack Plan'!$L$6:$L$78,"Done"),2,1),""))</f>
        <v/>
      </c>
      <c r="AA35" s="86" t="str">
        <f aca="false">IF($C35="","",IF(AND(AA$5&gt;=$C35,AA$5&lt;=$D35),IF(AA$5&lt;$C35+COUNTIFS('FullStack Plan'!$F$6:$F$78,$B35,'FullStack Plan'!$B$6:$B$78,"Yes",'FullStack Plan'!$L$6:$L$78,"Done"),2,1),""))</f>
        <v/>
      </c>
      <c r="AB35" s="86" t="str">
        <f aca="false">IF($C35="","",IF(AND(AB$5&gt;=$C35,AB$5&lt;=$D35),IF(AB$5&lt;$C35+COUNTIFS('FullStack Plan'!$F$6:$F$78,$B35,'FullStack Plan'!$B$6:$B$78,"Yes",'FullStack Plan'!$L$6:$L$78,"Done"),2,1),""))</f>
        <v/>
      </c>
      <c r="AC35" s="86" t="str">
        <f aca="false">IF($C35="","",IF(AND(AC$5&gt;=$C35,AC$5&lt;=$D35),IF(AC$5&lt;$C35+COUNTIFS('FullStack Plan'!$F$6:$F$78,$B35,'FullStack Plan'!$B$6:$B$78,"Yes",'FullStack Plan'!$L$6:$L$78,"Done"),2,1),""))</f>
        <v/>
      </c>
      <c r="AD35" s="86" t="str">
        <f aca="false">IF($C35="","",IF(AND(AD$5&gt;=$C35,AD$5&lt;=$D35),IF(AD$5&lt;$C35+COUNTIFS('FullStack Plan'!$F$6:$F$78,$B35,'FullStack Plan'!$B$6:$B$78,"Yes",'FullStack Plan'!$L$6:$L$78,"Done"),2,1),""))</f>
        <v/>
      </c>
      <c r="AE35" s="86" t="str">
        <f aca="false">IF($C35="","",IF(AND(AE$5&gt;=$C35,AE$5&lt;=$D35),IF(AE$5&lt;$C35+COUNTIFS('FullStack Plan'!$F$6:$F$78,$B35,'FullStack Plan'!$B$6:$B$78,"Yes",'FullStack Plan'!$L$6:$L$78,"Done"),2,1),""))</f>
        <v/>
      </c>
      <c r="AF35" s="86" t="str">
        <f aca="false">IF($C35="","",IF(AND(AF$5&gt;=$C35,AF$5&lt;=$D35),IF(AF$5&lt;$C35+COUNTIFS('FullStack Plan'!$F$6:$F$78,$B35,'FullStack Plan'!$B$6:$B$78,"Yes",'FullStack Plan'!$L$6:$L$78,"Done"),2,1),""))</f>
        <v/>
      </c>
      <c r="AG35" s="86" t="str">
        <f aca="false">IF($C35="","",IF(AND(AG$5&gt;=$C35,AG$5&lt;=$D35),IF(AG$5&lt;$C35+COUNTIFS('FullStack Plan'!$F$6:$F$78,$B35,'FullStack Plan'!$B$6:$B$78,"Yes",'FullStack Plan'!$L$6:$L$78,"Done"),2,1),""))</f>
        <v/>
      </c>
      <c r="AH35" s="86" t="str">
        <f aca="false">IF($C35="","",IF(AND(AH$5&gt;=$C35,AH$5&lt;=$D35),IF(AH$5&lt;$C35+COUNTIFS('FullStack Plan'!$F$6:$F$78,$B35,'FullStack Plan'!$B$6:$B$78,"Yes",'FullStack Plan'!$L$6:$L$78,"Done"),2,1),""))</f>
        <v/>
      </c>
      <c r="AI35" s="86" t="str">
        <f aca="false">IF($C35="","",IF(AND(AI$5&gt;=$C35,AI$5&lt;=$D35),IF(AI$5&lt;$C35+COUNTIFS('FullStack Plan'!$F$6:$F$78,$B35,'FullStack Plan'!$B$6:$B$78,"Yes",'FullStack Plan'!$L$6:$L$78,"Done"),2,1),""))</f>
        <v/>
      </c>
      <c r="AJ35" s="86" t="str">
        <f aca="false">IF($C35="","",IF(AND(AJ$5&gt;=$C35,AJ$5&lt;=$D35),IF(AJ$5&lt;$C35+COUNTIFS('FullStack Plan'!$F$6:$F$78,$B35,'FullStack Plan'!$B$6:$B$78,"Yes",'FullStack Plan'!$L$6:$L$78,"Done"),2,1),""))</f>
        <v/>
      </c>
      <c r="AK35" s="86" t="str">
        <f aca="false">IF($C35="","",IF(AND(AK$5&gt;=$C35,AK$5&lt;=$D35),IF(AK$5&lt;$C35+COUNTIFS('FullStack Plan'!$F$6:$F$78,$B35,'FullStack Plan'!$B$6:$B$78,"Yes",'FullStack Plan'!$L$6:$L$78,"Done"),2,1),""))</f>
        <v/>
      </c>
      <c r="AL35" s="86" t="str">
        <f aca="false">IF($C35="","",IF(AND(AL$5&gt;=$C35,AL$5&lt;=$D35),IF(AL$5&lt;$C35+COUNTIFS('FullStack Plan'!$F$6:$F$78,$B35,'FullStack Plan'!$B$6:$B$78,"Yes",'FullStack Plan'!$L$6:$L$78,"Done"),2,1),""))</f>
        <v/>
      </c>
      <c r="AM35" s="86" t="str">
        <f aca="false">IF($C35="","",IF(AND(AM$5&gt;=$C35,AM$5&lt;=$D35),IF(AM$5&lt;$C35+COUNTIFS('FullStack Plan'!$F$6:$F$78,$B35,'FullStack Plan'!$B$6:$B$78,"Yes",'FullStack Plan'!$L$6:$L$78,"Done"),2,1),""))</f>
        <v/>
      </c>
      <c r="AN35" s="86" t="str">
        <f aca="false">IF($C35="","",IF(AND(AN$5&gt;=$C35,AN$5&lt;=$D35),IF(AN$5&lt;$C35+COUNTIFS('FullStack Plan'!$F$6:$F$78,$B35,'FullStack Plan'!$B$6:$B$78,"Yes",'FullStack Plan'!$L$6:$L$78,"Done"),2,1),""))</f>
        <v/>
      </c>
      <c r="AO35" s="86" t="str">
        <f aca="false">IF($C35="","",IF(AND(AO$5&gt;=$C35,AO$5&lt;=$D35),IF(AO$5&lt;$C35+COUNTIFS('FullStack Plan'!$F$6:$F$78,$B35,'FullStack Plan'!$B$6:$B$78,"Yes",'FullStack Plan'!$L$6:$L$78,"Done"),2,1),""))</f>
        <v/>
      </c>
      <c r="AP35" s="86" t="str">
        <f aca="false">IF($C35="","",IF(AND(AP$5&gt;=$C35,AP$5&lt;=$D35),IF(AP$5&lt;$C35+COUNTIFS('FullStack Plan'!$F$6:$F$78,$B35,'FullStack Plan'!$B$6:$B$78,"Yes",'FullStack Plan'!$L$6:$L$78,"Done"),2,1),""))</f>
        <v/>
      </c>
      <c r="AQ35" s="86" t="str">
        <f aca="false">IF($C35="","",IF(AND(AQ$5&gt;=$C35,AQ$5&lt;=$D35),IF(AQ$5&lt;$C35+COUNTIFS('FullStack Plan'!$F$6:$F$78,$B35,'FullStack Plan'!$B$6:$B$78,"Yes",'FullStack Plan'!$L$6:$L$78,"Done"),2,1),""))</f>
        <v/>
      </c>
    </row>
    <row r="36" customFormat="false" ht="18" hidden="false" customHeight="true" outlineLevel="0" collapsed="false">
      <c r="A36" s="84" t="s">
        <v>20</v>
      </c>
      <c r="B36" s="90" t="s">
        <v>124</v>
      </c>
      <c r="C36" s="84" t="n">
        <f aca="false">IF(COUNTIFS('FullStack Plan'!$F$6:$F$78,$B36,'FullStack Plan'!$B$6:$B$78,"Yes")=0,"",_xlfn.MINIFS('FullStack Plan'!$A$6:$A$78,'FullStack Plan'!$F$6:$F$78,$B36,'FullStack Plan'!$B$6:$B$78,"Yes"))</f>
        <v>15</v>
      </c>
      <c r="D36" s="84" t="n">
        <f aca="false">IF(COUNTIFS('FullStack Plan'!$F$6:$F$78,$B36,'FullStack Plan'!$B$6:$B$78,"Yes")=0,"",_xlfn.MAXIFS('FullStack Plan'!$A$6:$A$78,'FullStack Plan'!$F$6:$F$78,$B36,'FullStack Plan'!$B$6:$B$78,"Yes"))</f>
        <v>18</v>
      </c>
      <c r="E36" s="86" t="str">
        <f aca="false">IF($C36="","",IF(AND(E$5&gt;=$C36,E$5&lt;=$D36),IF(E$5&lt;$C36+COUNTIFS('FullStack Plan'!$F$6:$F$78,$B36,'FullStack Plan'!$B$6:$B$78,"Yes",'FullStack Plan'!$L$6:$L$78,"Done"),2,1),""))</f>
        <v/>
      </c>
      <c r="F36" s="86" t="str">
        <f aca="false">IF($C36="","",IF(AND(F$5&gt;=$C36,F$5&lt;=$D36),IF(F$5&lt;$C36+COUNTIFS('FullStack Plan'!$F$6:$F$78,$B36,'FullStack Plan'!$B$6:$B$78,"Yes",'FullStack Plan'!$L$6:$L$78,"Done"),2,1),""))</f>
        <v/>
      </c>
      <c r="G36" s="86" t="str">
        <f aca="false">IF($C36="","",IF(AND(G$5&gt;=$C36,G$5&lt;=$D36),IF(G$5&lt;$C36+COUNTIFS('FullStack Plan'!$F$6:$F$78,$B36,'FullStack Plan'!$B$6:$B$78,"Yes",'FullStack Plan'!$L$6:$L$78,"Done"),2,1),""))</f>
        <v/>
      </c>
      <c r="H36" s="86" t="str">
        <f aca="false">IF($C36="","",IF(AND(H$5&gt;=$C36,H$5&lt;=$D36),IF(H$5&lt;$C36+COUNTIFS('FullStack Plan'!$F$6:$F$78,$B36,'FullStack Plan'!$B$6:$B$78,"Yes",'FullStack Plan'!$L$6:$L$78,"Done"),2,1),""))</f>
        <v/>
      </c>
      <c r="I36" s="86" t="str">
        <f aca="false">IF($C36="","",IF(AND(I$5&gt;=$C36,I$5&lt;=$D36),IF(I$5&lt;$C36+COUNTIFS('FullStack Plan'!$F$6:$F$78,$B36,'FullStack Plan'!$B$6:$B$78,"Yes",'FullStack Plan'!$L$6:$L$78,"Done"),2,1),""))</f>
        <v/>
      </c>
      <c r="J36" s="86" t="str">
        <f aca="false">IF($C36="","",IF(AND(J$5&gt;=$C36,J$5&lt;=$D36),IF(J$5&lt;$C36+COUNTIFS('FullStack Plan'!$F$6:$F$78,$B36,'FullStack Plan'!$B$6:$B$78,"Yes",'FullStack Plan'!$L$6:$L$78,"Done"),2,1),""))</f>
        <v/>
      </c>
      <c r="K36" s="86" t="str">
        <f aca="false">IF($C36="","",IF(AND(K$5&gt;=$C36,K$5&lt;=$D36),IF(K$5&lt;$C36+COUNTIFS('FullStack Plan'!$F$6:$F$78,$B36,'FullStack Plan'!$B$6:$B$78,"Yes",'FullStack Plan'!$L$6:$L$78,"Done"),2,1),""))</f>
        <v/>
      </c>
      <c r="L36" s="86" t="str">
        <f aca="false">IF($C36="","",IF(AND(L$5&gt;=$C36,L$5&lt;=$D36),IF(L$5&lt;$C36+COUNTIFS('FullStack Plan'!$F$6:$F$78,$B36,'FullStack Plan'!$B$6:$B$78,"Yes",'FullStack Plan'!$L$6:$L$78,"Done"),2,1),""))</f>
        <v/>
      </c>
      <c r="M36" s="86" t="str">
        <f aca="false">IF($C36="","",IF(AND(M$5&gt;=$C36,M$5&lt;=$D36),IF(M$5&lt;$C36+COUNTIFS('FullStack Plan'!$F$6:$F$78,$B36,'FullStack Plan'!$B$6:$B$78,"Yes",'FullStack Plan'!$L$6:$L$78,"Done"),2,1),""))</f>
        <v/>
      </c>
      <c r="N36" s="86" t="str">
        <f aca="false">IF($C36="","",IF(AND(N$5&gt;=$C36,N$5&lt;=$D36),IF(N$5&lt;$C36+COUNTIFS('FullStack Plan'!$F$6:$F$78,$B36,'FullStack Plan'!$B$6:$B$78,"Yes",'FullStack Plan'!$L$6:$L$78,"Done"),2,1),""))</f>
        <v/>
      </c>
      <c r="O36" s="86" t="str">
        <f aca="false">IF($C36="","",IF(AND(O$5&gt;=$C36,O$5&lt;=$D36),IF(O$5&lt;$C36+COUNTIFS('FullStack Plan'!$F$6:$F$78,$B36,'FullStack Plan'!$B$6:$B$78,"Yes",'FullStack Plan'!$L$6:$L$78,"Done"),2,1),""))</f>
        <v/>
      </c>
      <c r="P36" s="86" t="str">
        <f aca="false">IF($C36="","",IF(AND(P$5&gt;=$C36,P$5&lt;=$D36),IF(P$5&lt;$C36+COUNTIFS('FullStack Plan'!$F$6:$F$78,$B36,'FullStack Plan'!$B$6:$B$78,"Yes",'FullStack Plan'!$L$6:$L$78,"Done"),2,1),""))</f>
        <v/>
      </c>
      <c r="Q36" s="86" t="str">
        <f aca="false">IF($C36="","",IF(AND(Q$5&gt;=$C36,Q$5&lt;=$D36),IF(Q$5&lt;$C36+COUNTIFS('FullStack Plan'!$F$6:$F$78,$B36,'FullStack Plan'!$B$6:$B$78,"Yes",'FullStack Plan'!$L$6:$L$78,"Done"),2,1),""))</f>
        <v/>
      </c>
      <c r="R36" s="86" t="str">
        <f aca="false">IF($C36="","",IF(AND(R$5&gt;=$C36,R$5&lt;=$D36),IF(R$5&lt;$C36+COUNTIFS('FullStack Plan'!$F$6:$F$78,$B36,'FullStack Plan'!$B$6:$B$78,"Yes",'FullStack Plan'!$L$6:$L$78,"Done"),2,1),""))</f>
        <v/>
      </c>
      <c r="S36" s="86" t="n">
        <f aca="false">IF($C36="","",IF(AND(S$5&gt;=$C36,S$5&lt;=$D36),IF(S$5&lt;$C36+COUNTIFS('FullStack Plan'!$F$6:$F$78,$B36,'FullStack Plan'!$B$6:$B$78,"Yes",'FullStack Plan'!$L$6:$L$78,"Done"),2,1),""))</f>
        <v>1</v>
      </c>
      <c r="T36" s="86" t="n">
        <f aca="false">IF($C36="","",IF(AND(T$5&gt;=$C36,T$5&lt;=$D36),IF(T$5&lt;$C36+COUNTIFS('FullStack Plan'!$F$6:$F$78,$B36,'FullStack Plan'!$B$6:$B$78,"Yes",'FullStack Plan'!$L$6:$L$78,"Done"),2,1),""))</f>
        <v>1</v>
      </c>
      <c r="U36" s="86" t="n">
        <f aca="false">IF($C36="","",IF(AND(U$5&gt;=$C36,U$5&lt;=$D36),IF(U$5&lt;$C36+COUNTIFS('FullStack Plan'!$F$6:$F$78,$B36,'FullStack Plan'!$B$6:$B$78,"Yes",'FullStack Plan'!$L$6:$L$78,"Done"),2,1),""))</f>
        <v>1</v>
      </c>
      <c r="V36" s="86" t="n">
        <f aca="false">IF($C36="","",IF(AND(V$5&gt;=$C36,V$5&lt;=$D36),IF(V$5&lt;$C36+COUNTIFS('FullStack Plan'!$F$6:$F$78,$B36,'FullStack Plan'!$B$6:$B$78,"Yes",'FullStack Plan'!$L$6:$L$78,"Done"),2,1),""))</f>
        <v>1</v>
      </c>
      <c r="W36" s="86" t="str">
        <f aca="false">IF($C36="","",IF(AND(W$5&gt;=$C36,W$5&lt;=$D36),IF(W$5&lt;$C36+COUNTIFS('FullStack Plan'!$F$6:$F$78,$B36,'FullStack Plan'!$B$6:$B$78,"Yes",'FullStack Plan'!$L$6:$L$78,"Done"),2,1),""))</f>
        <v/>
      </c>
      <c r="X36" s="86" t="str">
        <f aca="false">IF($C36="","",IF(AND(X$5&gt;=$C36,X$5&lt;=$D36),IF(X$5&lt;$C36+COUNTIFS('FullStack Plan'!$F$6:$F$78,$B36,'FullStack Plan'!$B$6:$B$78,"Yes",'FullStack Plan'!$L$6:$L$78,"Done"),2,1),""))</f>
        <v/>
      </c>
      <c r="Y36" s="86" t="str">
        <f aca="false">IF($C36="","",IF(AND(Y$5&gt;=$C36,Y$5&lt;=$D36),IF(Y$5&lt;$C36+COUNTIFS('FullStack Plan'!$F$6:$F$78,$B36,'FullStack Plan'!$B$6:$B$78,"Yes",'FullStack Plan'!$L$6:$L$78,"Done"),2,1),""))</f>
        <v/>
      </c>
      <c r="Z36" s="86" t="str">
        <f aca="false">IF($C36="","",IF(AND(Z$5&gt;=$C36,Z$5&lt;=$D36),IF(Z$5&lt;$C36+COUNTIFS('FullStack Plan'!$F$6:$F$78,$B36,'FullStack Plan'!$B$6:$B$78,"Yes",'FullStack Plan'!$L$6:$L$78,"Done"),2,1),""))</f>
        <v/>
      </c>
      <c r="AA36" s="86" t="str">
        <f aca="false">IF($C36="","",IF(AND(AA$5&gt;=$C36,AA$5&lt;=$D36),IF(AA$5&lt;$C36+COUNTIFS('FullStack Plan'!$F$6:$F$78,$B36,'FullStack Plan'!$B$6:$B$78,"Yes",'FullStack Plan'!$L$6:$L$78,"Done"),2,1),""))</f>
        <v/>
      </c>
      <c r="AB36" s="86" t="str">
        <f aca="false">IF($C36="","",IF(AND(AB$5&gt;=$C36,AB$5&lt;=$D36),IF(AB$5&lt;$C36+COUNTIFS('FullStack Plan'!$F$6:$F$78,$B36,'FullStack Plan'!$B$6:$B$78,"Yes",'FullStack Plan'!$L$6:$L$78,"Done"),2,1),""))</f>
        <v/>
      </c>
      <c r="AC36" s="86" t="str">
        <f aca="false">IF($C36="","",IF(AND(AC$5&gt;=$C36,AC$5&lt;=$D36),IF(AC$5&lt;$C36+COUNTIFS('FullStack Plan'!$F$6:$F$78,$B36,'FullStack Plan'!$B$6:$B$78,"Yes",'FullStack Plan'!$L$6:$L$78,"Done"),2,1),""))</f>
        <v/>
      </c>
      <c r="AD36" s="86" t="str">
        <f aca="false">IF($C36="","",IF(AND(AD$5&gt;=$C36,AD$5&lt;=$D36),IF(AD$5&lt;$C36+COUNTIFS('FullStack Plan'!$F$6:$F$78,$B36,'FullStack Plan'!$B$6:$B$78,"Yes",'FullStack Plan'!$L$6:$L$78,"Done"),2,1),""))</f>
        <v/>
      </c>
      <c r="AE36" s="86" t="str">
        <f aca="false">IF($C36="","",IF(AND(AE$5&gt;=$C36,AE$5&lt;=$D36),IF(AE$5&lt;$C36+COUNTIFS('FullStack Plan'!$F$6:$F$78,$B36,'FullStack Plan'!$B$6:$B$78,"Yes",'FullStack Plan'!$L$6:$L$78,"Done"),2,1),""))</f>
        <v/>
      </c>
      <c r="AF36" s="86" t="str">
        <f aca="false">IF($C36="","",IF(AND(AF$5&gt;=$C36,AF$5&lt;=$D36),IF(AF$5&lt;$C36+COUNTIFS('FullStack Plan'!$F$6:$F$78,$B36,'FullStack Plan'!$B$6:$B$78,"Yes",'FullStack Plan'!$L$6:$L$78,"Done"),2,1),""))</f>
        <v/>
      </c>
      <c r="AG36" s="86" t="str">
        <f aca="false">IF($C36="","",IF(AND(AG$5&gt;=$C36,AG$5&lt;=$D36),IF(AG$5&lt;$C36+COUNTIFS('FullStack Plan'!$F$6:$F$78,$B36,'FullStack Plan'!$B$6:$B$78,"Yes",'FullStack Plan'!$L$6:$L$78,"Done"),2,1),""))</f>
        <v/>
      </c>
      <c r="AH36" s="86" t="str">
        <f aca="false">IF($C36="","",IF(AND(AH$5&gt;=$C36,AH$5&lt;=$D36),IF(AH$5&lt;$C36+COUNTIFS('FullStack Plan'!$F$6:$F$78,$B36,'FullStack Plan'!$B$6:$B$78,"Yes",'FullStack Plan'!$L$6:$L$78,"Done"),2,1),""))</f>
        <v/>
      </c>
      <c r="AI36" s="86" t="str">
        <f aca="false">IF($C36="","",IF(AND(AI$5&gt;=$C36,AI$5&lt;=$D36),IF(AI$5&lt;$C36+COUNTIFS('FullStack Plan'!$F$6:$F$78,$B36,'FullStack Plan'!$B$6:$B$78,"Yes",'FullStack Plan'!$L$6:$L$78,"Done"),2,1),""))</f>
        <v/>
      </c>
      <c r="AJ36" s="86" t="str">
        <f aca="false">IF($C36="","",IF(AND(AJ$5&gt;=$C36,AJ$5&lt;=$D36),IF(AJ$5&lt;$C36+COUNTIFS('FullStack Plan'!$F$6:$F$78,$B36,'FullStack Plan'!$B$6:$B$78,"Yes",'FullStack Plan'!$L$6:$L$78,"Done"),2,1),""))</f>
        <v/>
      </c>
      <c r="AK36" s="86" t="str">
        <f aca="false">IF($C36="","",IF(AND(AK$5&gt;=$C36,AK$5&lt;=$D36),IF(AK$5&lt;$C36+COUNTIFS('FullStack Plan'!$F$6:$F$78,$B36,'FullStack Plan'!$B$6:$B$78,"Yes",'FullStack Plan'!$L$6:$L$78,"Done"),2,1),""))</f>
        <v/>
      </c>
      <c r="AL36" s="86" t="str">
        <f aca="false">IF($C36="","",IF(AND(AL$5&gt;=$C36,AL$5&lt;=$D36),IF(AL$5&lt;$C36+COUNTIFS('FullStack Plan'!$F$6:$F$78,$B36,'FullStack Plan'!$B$6:$B$78,"Yes",'FullStack Plan'!$L$6:$L$78,"Done"),2,1),""))</f>
        <v/>
      </c>
      <c r="AM36" s="86" t="str">
        <f aca="false">IF($C36="","",IF(AND(AM$5&gt;=$C36,AM$5&lt;=$D36),IF(AM$5&lt;$C36+COUNTIFS('FullStack Plan'!$F$6:$F$78,$B36,'FullStack Plan'!$B$6:$B$78,"Yes",'FullStack Plan'!$L$6:$L$78,"Done"),2,1),""))</f>
        <v/>
      </c>
      <c r="AN36" s="86" t="str">
        <f aca="false">IF($C36="","",IF(AND(AN$5&gt;=$C36,AN$5&lt;=$D36),IF(AN$5&lt;$C36+COUNTIFS('FullStack Plan'!$F$6:$F$78,$B36,'FullStack Plan'!$B$6:$B$78,"Yes",'FullStack Plan'!$L$6:$L$78,"Done"),2,1),""))</f>
        <v/>
      </c>
      <c r="AO36" s="86" t="str">
        <f aca="false">IF($C36="","",IF(AND(AO$5&gt;=$C36,AO$5&lt;=$D36),IF(AO$5&lt;$C36+COUNTIFS('FullStack Plan'!$F$6:$F$78,$B36,'FullStack Plan'!$B$6:$B$78,"Yes",'FullStack Plan'!$L$6:$L$78,"Done"),2,1),""))</f>
        <v/>
      </c>
      <c r="AP36" s="86" t="str">
        <f aca="false">IF($C36="","",IF(AND(AP$5&gt;=$C36,AP$5&lt;=$D36),IF(AP$5&lt;$C36+COUNTIFS('FullStack Plan'!$F$6:$F$78,$B36,'FullStack Plan'!$B$6:$B$78,"Yes",'FullStack Plan'!$L$6:$L$78,"Done"),2,1),""))</f>
        <v/>
      </c>
      <c r="AQ36" s="86" t="str">
        <f aca="false">IF($C36="","",IF(AND(AQ$5&gt;=$C36,AQ$5&lt;=$D36),IF(AQ$5&lt;$C36+COUNTIFS('FullStack Plan'!$F$6:$F$78,$B36,'FullStack Plan'!$B$6:$B$78,"Yes",'FullStack Plan'!$L$6:$L$78,"Done"),2,1),""))</f>
        <v/>
      </c>
    </row>
    <row r="37" customFormat="false" ht="18" hidden="false" customHeight="true" outlineLevel="0" collapsed="false">
      <c r="A37" s="84" t="s">
        <v>20</v>
      </c>
      <c r="B37" s="90" t="s">
        <v>104</v>
      </c>
      <c r="C37" s="84" t="n">
        <f aca="false">IF(COUNTIFS('FullStack Plan'!$F$6:$F$78,$B37,'FullStack Plan'!$B$6:$B$78,"Yes")=0,"",_xlfn.MINIFS('FullStack Plan'!$A$6:$A$78,'FullStack Plan'!$F$6:$F$78,$B37,'FullStack Plan'!$B$6:$B$78,"Yes"))</f>
        <v>19</v>
      </c>
      <c r="D37" s="84" t="n">
        <f aca="false">IF(COUNTIFS('FullStack Plan'!$F$6:$F$78,$B37,'FullStack Plan'!$B$6:$B$78,"Yes")=0,"",_xlfn.MAXIFS('FullStack Plan'!$A$6:$A$78,'FullStack Plan'!$F$6:$F$78,$B37,'FullStack Plan'!$B$6:$B$78,"Yes"))</f>
        <v>22</v>
      </c>
      <c r="E37" s="86" t="str">
        <f aca="false">IF($C37="","",IF(AND(E$5&gt;=$C37,E$5&lt;=$D37),IF(E$5&lt;$C37+COUNTIFS('FullStack Plan'!$F$6:$F$78,$B37,'FullStack Plan'!$B$6:$B$78,"Yes",'FullStack Plan'!$L$6:$L$78,"Done"),2,1),""))</f>
        <v/>
      </c>
      <c r="F37" s="86" t="str">
        <f aca="false">IF($C37="","",IF(AND(F$5&gt;=$C37,F$5&lt;=$D37),IF(F$5&lt;$C37+COUNTIFS('FullStack Plan'!$F$6:$F$78,$B37,'FullStack Plan'!$B$6:$B$78,"Yes",'FullStack Plan'!$L$6:$L$78,"Done"),2,1),""))</f>
        <v/>
      </c>
      <c r="G37" s="86" t="str">
        <f aca="false">IF($C37="","",IF(AND(G$5&gt;=$C37,G$5&lt;=$D37),IF(G$5&lt;$C37+COUNTIFS('FullStack Plan'!$F$6:$F$78,$B37,'FullStack Plan'!$B$6:$B$78,"Yes",'FullStack Plan'!$L$6:$L$78,"Done"),2,1),""))</f>
        <v/>
      </c>
      <c r="H37" s="86" t="str">
        <f aca="false">IF($C37="","",IF(AND(H$5&gt;=$C37,H$5&lt;=$D37),IF(H$5&lt;$C37+COUNTIFS('FullStack Plan'!$F$6:$F$78,$B37,'FullStack Plan'!$B$6:$B$78,"Yes",'FullStack Plan'!$L$6:$L$78,"Done"),2,1),""))</f>
        <v/>
      </c>
      <c r="I37" s="86" t="str">
        <f aca="false">IF($C37="","",IF(AND(I$5&gt;=$C37,I$5&lt;=$D37),IF(I$5&lt;$C37+COUNTIFS('FullStack Plan'!$F$6:$F$78,$B37,'FullStack Plan'!$B$6:$B$78,"Yes",'FullStack Plan'!$L$6:$L$78,"Done"),2,1),""))</f>
        <v/>
      </c>
      <c r="J37" s="86" t="str">
        <f aca="false">IF($C37="","",IF(AND(J$5&gt;=$C37,J$5&lt;=$D37),IF(J$5&lt;$C37+COUNTIFS('FullStack Plan'!$F$6:$F$78,$B37,'FullStack Plan'!$B$6:$B$78,"Yes",'FullStack Plan'!$L$6:$L$78,"Done"),2,1),""))</f>
        <v/>
      </c>
      <c r="K37" s="86" t="str">
        <f aca="false">IF($C37="","",IF(AND(K$5&gt;=$C37,K$5&lt;=$D37),IF(K$5&lt;$C37+COUNTIFS('FullStack Plan'!$F$6:$F$78,$B37,'FullStack Plan'!$B$6:$B$78,"Yes",'FullStack Plan'!$L$6:$L$78,"Done"),2,1),""))</f>
        <v/>
      </c>
      <c r="L37" s="86" t="str">
        <f aca="false">IF($C37="","",IF(AND(L$5&gt;=$C37,L$5&lt;=$D37),IF(L$5&lt;$C37+COUNTIFS('FullStack Plan'!$F$6:$F$78,$B37,'FullStack Plan'!$B$6:$B$78,"Yes",'FullStack Plan'!$L$6:$L$78,"Done"),2,1),""))</f>
        <v/>
      </c>
      <c r="M37" s="86" t="str">
        <f aca="false">IF($C37="","",IF(AND(M$5&gt;=$C37,M$5&lt;=$D37),IF(M$5&lt;$C37+COUNTIFS('FullStack Plan'!$F$6:$F$78,$B37,'FullStack Plan'!$B$6:$B$78,"Yes",'FullStack Plan'!$L$6:$L$78,"Done"),2,1),""))</f>
        <v/>
      </c>
      <c r="N37" s="86" t="str">
        <f aca="false">IF($C37="","",IF(AND(N$5&gt;=$C37,N$5&lt;=$D37),IF(N$5&lt;$C37+COUNTIFS('FullStack Plan'!$F$6:$F$78,$B37,'FullStack Plan'!$B$6:$B$78,"Yes",'FullStack Plan'!$L$6:$L$78,"Done"),2,1),""))</f>
        <v/>
      </c>
      <c r="O37" s="86" t="str">
        <f aca="false">IF($C37="","",IF(AND(O$5&gt;=$C37,O$5&lt;=$D37),IF(O$5&lt;$C37+COUNTIFS('FullStack Plan'!$F$6:$F$78,$B37,'FullStack Plan'!$B$6:$B$78,"Yes",'FullStack Plan'!$L$6:$L$78,"Done"),2,1),""))</f>
        <v/>
      </c>
      <c r="P37" s="86" t="str">
        <f aca="false">IF($C37="","",IF(AND(P$5&gt;=$C37,P$5&lt;=$D37),IF(P$5&lt;$C37+COUNTIFS('FullStack Plan'!$F$6:$F$78,$B37,'FullStack Plan'!$B$6:$B$78,"Yes",'FullStack Plan'!$L$6:$L$78,"Done"),2,1),""))</f>
        <v/>
      </c>
      <c r="Q37" s="86" t="str">
        <f aca="false">IF($C37="","",IF(AND(Q$5&gt;=$C37,Q$5&lt;=$D37),IF(Q$5&lt;$C37+COUNTIFS('FullStack Plan'!$F$6:$F$78,$B37,'FullStack Plan'!$B$6:$B$78,"Yes",'FullStack Plan'!$L$6:$L$78,"Done"),2,1),""))</f>
        <v/>
      </c>
      <c r="R37" s="86" t="str">
        <f aca="false">IF($C37="","",IF(AND(R$5&gt;=$C37,R$5&lt;=$D37),IF(R$5&lt;$C37+COUNTIFS('FullStack Plan'!$F$6:$F$78,$B37,'FullStack Plan'!$B$6:$B$78,"Yes",'FullStack Plan'!$L$6:$L$78,"Done"),2,1),""))</f>
        <v/>
      </c>
      <c r="S37" s="86" t="str">
        <f aca="false">IF($C37="","",IF(AND(S$5&gt;=$C37,S$5&lt;=$D37),IF(S$5&lt;$C37+COUNTIFS('FullStack Plan'!$F$6:$F$78,$B37,'FullStack Plan'!$B$6:$B$78,"Yes",'FullStack Plan'!$L$6:$L$78,"Done"),2,1),""))</f>
        <v/>
      </c>
      <c r="T37" s="86" t="str">
        <f aca="false">IF($C37="","",IF(AND(T$5&gt;=$C37,T$5&lt;=$D37),IF(T$5&lt;$C37+COUNTIFS('FullStack Plan'!$F$6:$F$78,$B37,'FullStack Plan'!$B$6:$B$78,"Yes",'FullStack Plan'!$L$6:$L$78,"Done"),2,1),""))</f>
        <v/>
      </c>
      <c r="U37" s="86" t="str">
        <f aca="false">IF($C37="","",IF(AND(U$5&gt;=$C37,U$5&lt;=$D37),IF(U$5&lt;$C37+COUNTIFS('FullStack Plan'!$F$6:$F$78,$B37,'FullStack Plan'!$B$6:$B$78,"Yes",'FullStack Plan'!$L$6:$L$78,"Done"),2,1),""))</f>
        <v/>
      </c>
      <c r="V37" s="86" t="str">
        <f aca="false">IF($C37="","",IF(AND(V$5&gt;=$C37,V$5&lt;=$D37),IF(V$5&lt;$C37+COUNTIFS('FullStack Plan'!$F$6:$F$78,$B37,'FullStack Plan'!$B$6:$B$78,"Yes",'FullStack Plan'!$L$6:$L$78,"Done"),2,1),""))</f>
        <v/>
      </c>
      <c r="W37" s="86" t="n">
        <f aca="false">IF($C37="","",IF(AND(W$5&gt;=$C37,W$5&lt;=$D37),IF(W$5&lt;$C37+COUNTIFS('FullStack Plan'!$F$6:$F$78,$B37,'FullStack Plan'!$B$6:$B$78,"Yes",'FullStack Plan'!$L$6:$L$78,"Done"),2,1),""))</f>
        <v>1</v>
      </c>
      <c r="X37" s="86" t="n">
        <f aca="false">IF($C37="","",IF(AND(X$5&gt;=$C37,X$5&lt;=$D37),IF(X$5&lt;$C37+COUNTIFS('FullStack Plan'!$F$6:$F$78,$B37,'FullStack Plan'!$B$6:$B$78,"Yes",'FullStack Plan'!$L$6:$L$78,"Done"),2,1),""))</f>
        <v>1</v>
      </c>
      <c r="Y37" s="86" t="n">
        <f aca="false">IF($C37="","",IF(AND(Y$5&gt;=$C37,Y$5&lt;=$D37),IF(Y$5&lt;$C37+COUNTIFS('FullStack Plan'!$F$6:$F$78,$B37,'FullStack Plan'!$B$6:$B$78,"Yes",'FullStack Plan'!$L$6:$L$78,"Done"),2,1),""))</f>
        <v>1</v>
      </c>
      <c r="Z37" s="86" t="n">
        <f aca="false">IF($C37="","",IF(AND(Z$5&gt;=$C37,Z$5&lt;=$D37),IF(Z$5&lt;$C37+COUNTIFS('FullStack Plan'!$F$6:$F$78,$B37,'FullStack Plan'!$B$6:$B$78,"Yes",'FullStack Plan'!$L$6:$L$78,"Done"),2,1),""))</f>
        <v>1</v>
      </c>
      <c r="AA37" s="86" t="str">
        <f aca="false">IF($C37="","",IF(AND(AA$5&gt;=$C37,AA$5&lt;=$D37),IF(AA$5&lt;$C37+COUNTIFS('FullStack Plan'!$F$6:$F$78,$B37,'FullStack Plan'!$B$6:$B$78,"Yes",'FullStack Plan'!$L$6:$L$78,"Done"),2,1),""))</f>
        <v/>
      </c>
      <c r="AB37" s="86" t="str">
        <f aca="false">IF($C37="","",IF(AND(AB$5&gt;=$C37,AB$5&lt;=$D37),IF(AB$5&lt;$C37+COUNTIFS('FullStack Plan'!$F$6:$F$78,$B37,'FullStack Plan'!$B$6:$B$78,"Yes",'FullStack Plan'!$L$6:$L$78,"Done"),2,1),""))</f>
        <v/>
      </c>
      <c r="AC37" s="86" t="str">
        <f aca="false">IF($C37="","",IF(AND(AC$5&gt;=$C37,AC$5&lt;=$D37),IF(AC$5&lt;$C37+COUNTIFS('FullStack Plan'!$F$6:$F$78,$B37,'FullStack Plan'!$B$6:$B$78,"Yes",'FullStack Plan'!$L$6:$L$78,"Done"),2,1),""))</f>
        <v/>
      </c>
      <c r="AD37" s="86" t="str">
        <f aca="false">IF($C37="","",IF(AND(AD$5&gt;=$C37,AD$5&lt;=$D37),IF(AD$5&lt;$C37+COUNTIFS('FullStack Plan'!$F$6:$F$78,$B37,'FullStack Plan'!$B$6:$B$78,"Yes",'FullStack Plan'!$L$6:$L$78,"Done"),2,1),""))</f>
        <v/>
      </c>
      <c r="AE37" s="86" t="str">
        <f aca="false">IF($C37="","",IF(AND(AE$5&gt;=$C37,AE$5&lt;=$D37),IF(AE$5&lt;$C37+COUNTIFS('FullStack Plan'!$F$6:$F$78,$B37,'FullStack Plan'!$B$6:$B$78,"Yes",'FullStack Plan'!$L$6:$L$78,"Done"),2,1),""))</f>
        <v/>
      </c>
      <c r="AF37" s="86" t="str">
        <f aca="false">IF($C37="","",IF(AND(AF$5&gt;=$C37,AF$5&lt;=$D37),IF(AF$5&lt;$C37+COUNTIFS('FullStack Plan'!$F$6:$F$78,$B37,'FullStack Plan'!$B$6:$B$78,"Yes",'FullStack Plan'!$L$6:$L$78,"Done"),2,1),""))</f>
        <v/>
      </c>
      <c r="AG37" s="86" t="str">
        <f aca="false">IF($C37="","",IF(AND(AG$5&gt;=$C37,AG$5&lt;=$D37),IF(AG$5&lt;$C37+COUNTIFS('FullStack Plan'!$F$6:$F$78,$B37,'FullStack Plan'!$B$6:$B$78,"Yes",'FullStack Plan'!$L$6:$L$78,"Done"),2,1),""))</f>
        <v/>
      </c>
      <c r="AH37" s="86" t="str">
        <f aca="false">IF($C37="","",IF(AND(AH$5&gt;=$C37,AH$5&lt;=$D37),IF(AH$5&lt;$C37+COUNTIFS('FullStack Plan'!$F$6:$F$78,$B37,'FullStack Plan'!$B$6:$B$78,"Yes",'FullStack Plan'!$L$6:$L$78,"Done"),2,1),""))</f>
        <v/>
      </c>
      <c r="AI37" s="86" t="str">
        <f aca="false">IF($C37="","",IF(AND(AI$5&gt;=$C37,AI$5&lt;=$D37),IF(AI$5&lt;$C37+COUNTIFS('FullStack Plan'!$F$6:$F$78,$B37,'FullStack Plan'!$B$6:$B$78,"Yes",'FullStack Plan'!$L$6:$L$78,"Done"),2,1),""))</f>
        <v/>
      </c>
      <c r="AJ37" s="86" t="str">
        <f aca="false">IF($C37="","",IF(AND(AJ$5&gt;=$C37,AJ$5&lt;=$D37),IF(AJ$5&lt;$C37+COUNTIFS('FullStack Plan'!$F$6:$F$78,$B37,'FullStack Plan'!$B$6:$B$78,"Yes",'FullStack Plan'!$L$6:$L$78,"Done"),2,1),""))</f>
        <v/>
      </c>
      <c r="AK37" s="86" t="str">
        <f aca="false">IF($C37="","",IF(AND(AK$5&gt;=$C37,AK$5&lt;=$D37),IF(AK$5&lt;$C37+COUNTIFS('FullStack Plan'!$F$6:$F$78,$B37,'FullStack Plan'!$B$6:$B$78,"Yes",'FullStack Plan'!$L$6:$L$78,"Done"),2,1),""))</f>
        <v/>
      </c>
      <c r="AL37" s="86" t="str">
        <f aca="false">IF($C37="","",IF(AND(AL$5&gt;=$C37,AL$5&lt;=$D37),IF(AL$5&lt;$C37+COUNTIFS('FullStack Plan'!$F$6:$F$78,$B37,'FullStack Plan'!$B$6:$B$78,"Yes",'FullStack Plan'!$L$6:$L$78,"Done"),2,1),""))</f>
        <v/>
      </c>
      <c r="AM37" s="86" t="str">
        <f aca="false">IF($C37="","",IF(AND(AM$5&gt;=$C37,AM$5&lt;=$D37),IF(AM$5&lt;$C37+COUNTIFS('FullStack Plan'!$F$6:$F$78,$B37,'FullStack Plan'!$B$6:$B$78,"Yes",'FullStack Plan'!$L$6:$L$78,"Done"),2,1),""))</f>
        <v/>
      </c>
      <c r="AN37" s="86" t="str">
        <f aca="false">IF($C37="","",IF(AND(AN$5&gt;=$C37,AN$5&lt;=$D37),IF(AN$5&lt;$C37+COUNTIFS('FullStack Plan'!$F$6:$F$78,$B37,'FullStack Plan'!$B$6:$B$78,"Yes",'FullStack Plan'!$L$6:$L$78,"Done"),2,1),""))</f>
        <v/>
      </c>
      <c r="AO37" s="86" t="str">
        <f aca="false">IF($C37="","",IF(AND(AO$5&gt;=$C37,AO$5&lt;=$D37),IF(AO$5&lt;$C37+COUNTIFS('FullStack Plan'!$F$6:$F$78,$B37,'FullStack Plan'!$B$6:$B$78,"Yes",'FullStack Plan'!$L$6:$L$78,"Done"),2,1),""))</f>
        <v/>
      </c>
      <c r="AP37" s="86" t="str">
        <f aca="false">IF($C37="","",IF(AND(AP$5&gt;=$C37,AP$5&lt;=$D37),IF(AP$5&lt;$C37+COUNTIFS('FullStack Plan'!$F$6:$F$78,$B37,'FullStack Plan'!$B$6:$B$78,"Yes",'FullStack Plan'!$L$6:$L$78,"Done"),2,1),""))</f>
        <v/>
      </c>
      <c r="AQ37" s="86" t="str">
        <f aca="false">IF($C37="","",IF(AND(AQ$5&gt;=$C37,AQ$5&lt;=$D37),IF(AQ$5&lt;$C37+COUNTIFS('FullStack Plan'!$F$6:$F$78,$B37,'FullStack Plan'!$B$6:$B$78,"Yes",'FullStack Plan'!$L$6:$L$78,"Done"),2,1),""))</f>
        <v/>
      </c>
    </row>
    <row r="38" customFormat="false" ht="18" hidden="false" customHeight="true" outlineLevel="0" collapsed="false">
      <c r="A38" s="84" t="s">
        <v>20</v>
      </c>
      <c r="B38" s="90" t="s">
        <v>125</v>
      </c>
      <c r="C38" s="84" t="n">
        <f aca="false">IF(COUNTIFS('FullStack Plan'!$F$6:$F$78,$B38,'FullStack Plan'!$B$6:$B$78,"Yes")=0,"",_xlfn.MINIFS('FullStack Plan'!$A$6:$A$78,'FullStack Plan'!$F$6:$F$78,$B38,'FullStack Plan'!$B$6:$B$78,"Yes"))</f>
        <v>23</v>
      </c>
      <c r="D38" s="84" t="n">
        <f aca="false">IF(COUNTIFS('FullStack Plan'!$F$6:$F$78,$B38,'FullStack Plan'!$B$6:$B$78,"Yes")=0,"",_xlfn.MAXIFS('FullStack Plan'!$A$6:$A$78,'FullStack Plan'!$F$6:$F$78,$B38,'FullStack Plan'!$B$6:$B$78,"Yes"))</f>
        <v>24</v>
      </c>
      <c r="E38" s="86" t="str">
        <f aca="false">IF($C38="","",IF(AND(E$5&gt;=$C38,E$5&lt;=$D38),IF(E$5&lt;$C38+COUNTIFS('FullStack Plan'!$F$6:$F$78,$B38,'FullStack Plan'!$B$6:$B$78,"Yes",'FullStack Plan'!$L$6:$L$78,"Done"),2,1),""))</f>
        <v/>
      </c>
      <c r="F38" s="86" t="str">
        <f aca="false">IF($C38="","",IF(AND(F$5&gt;=$C38,F$5&lt;=$D38),IF(F$5&lt;$C38+COUNTIFS('FullStack Plan'!$F$6:$F$78,$B38,'FullStack Plan'!$B$6:$B$78,"Yes",'FullStack Plan'!$L$6:$L$78,"Done"),2,1),""))</f>
        <v/>
      </c>
      <c r="G38" s="86" t="str">
        <f aca="false">IF($C38="","",IF(AND(G$5&gt;=$C38,G$5&lt;=$D38),IF(G$5&lt;$C38+COUNTIFS('FullStack Plan'!$F$6:$F$78,$B38,'FullStack Plan'!$B$6:$B$78,"Yes",'FullStack Plan'!$L$6:$L$78,"Done"),2,1),""))</f>
        <v/>
      </c>
      <c r="H38" s="86" t="str">
        <f aca="false">IF($C38="","",IF(AND(H$5&gt;=$C38,H$5&lt;=$D38),IF(H$5&lt;$C38+COUNTIFS('FullStack Plan'!$F$6:$F$78,$B38,'FullStack Plan'!$B$6:$B$78,"Yes",'FullStack Plan'!$L$6:$L$78,"Done"),2,1),""))</f>
        <v/>
      </c>
      <c r="I38" s="86" t="str">
        <f aca="false">IF($C38="","",IF(AND(I$5&gt;=$C38,I$5&lt;=$D38),IF(I$5&lt;$C38+COUNTIFS('FullStack Plan'!$F$6:$F$78,$B38,'FullStack Plan'!$B$6:$B$78,"Yes",'FullStack Plan'!$L$6:$L$78,"Done"),2,1),""))</f>
        <v/>
      </c>
      <c r="J38" s="86" t="str">
        <f aca="false">IF($C38="","",IF(AND(J$5&gt;=$C38,J$5&lt;=$D38),IF(J$5&lt;$C38+COUNTIFS('FullStack Plan'!$F$6:$F$78,$B38,'FullStack Plan'!$B$6:$B$78,"Yes",'FullStack Plan'!$L$6:$L$78,"Done"),2,1),""))</f>
        <v/>
      </c>
      <c r="K38" s="86" t="str">
        <f aca="false">IF($C38="","",IF(AND(K$5&gt;=$C38,K$5&lt;=$D38),IF(K$5&lt;$C38+COUNTIFS('FullStack Plan'!$F$6:$F$78,$B38,'FullStack Plan'!$B$6:$B$78,"Yes",'FullStack Plan'!$L$6:$L$78,"Done"),2,1),""))</f>
        <v/>
      </c>
      <c r="L38" s="86" t="str">
        <f aca="false">IF($C38="","",IF(AND(L$5&gt;=$C38,L$5&lt;=$D38),IF(L$5&lt;$C38+COUNTIFS('FullStack Plan'!$F$6:$F$78,$B38,'FullStack Plan'!$B$6:$B$78,"Yes",'FullStack Plan'!$L$6:$L$78,"Done"),2,1),""))</f>
        <v/>
      </c>
      <c r="M38" s="86" t="str">
        <f aca="false">IF($C38="","",IF(AND(M$5&gt;=$C38,M$5&lt;=$D38),IF(M$5&lt;$C38+COUNTIFS('FullStack Plan'!$F$6:$F$78,$B38,'FullStack Plan'!$B$6:$B$78,"Yes",'FullStack Plan'!$L$6:$L$78,"Done"),2,1),""))</f>
        <v/>
      </c>
      <c r="N38" s="86" t="str">
        <f aca="false">IF($C38="","",IF(AND(N$5&gt;=$C38,N$5&lt;=$D38),IF(N$5&lt;$C38+COUNTIFS('FullStack Plan'!$F$6:$F$78,$B38,'FullStack Plan'!$B$6:$B$78,"Yes",'FullStack Plan'!$L$6:$L$78,"Done"),2,1),""))</f>
        <v/>
      </c>
      <c r="O38" s="86" t="str">
        <f aca="false">IF($C38="","",IF(AND(O$5&gt;=$C38,O$5&lt;=$D38),IF(O$5&lt;$C38+COUNTIFS('FullStack Plan'!$F$6:$F$78,$B38,'FullStack Plan'!$B$6:$B$78,"Yes",'FullStack Plan'!$L$6:$L$78,"Done"),2,1),""))</f>
        <v/>
      </c>
      <c r="P38" s="86" t="str">
        <f aca="false">IF($C38="","",IF(AND(P$5&gt;=$C38,P$5&lt;=$D38),IF(P$5&lt;$C38+COUNTIFS('FullStack Plan'!$F$6:$F$78,$B38,'FullStack Plan'!$B$6:$B$78,"Yes",'FullStack Plan'!$L$6:$L$78,"Done"),2,1),""))</f>
        <v/>
      </c>
      <c r="Q38" s="86" t="str">
        <f aca="false">IF($C38="","",IF(AND(Q$5&gt;=$C38,Q$5&lt;=$D38),IF(Q$5&lt;$C38+COUNTIFS('FullStack Plan'!$F$6:$F$78,$B38,'FullStack Plan'!$B$6:$B$78,"Yes",'FullStack Plan'!$L$6:$L$78,"Done"),2,1),""))</f>
        <v/>
      </c>
      <c r="R38" s="86" t="str">
        <f aca="false">IF($C38="","",IF(AND(R$5&gt;=$C38,R$5&lt;=$D38),IF(R$5&lt;$C38+COUNTIFS('FullStack Plan'!$F$6:$F$78,$B38,'FullStack Plan'!$B$6:$B$78,"Yes",'FullStack Plan'!$L$6:$L$78,"Done"),2,1),""))</f>
        <v/>
      </c>
      <c r="S38" s="86" t="str">
        <f aca="false">IF($C38="","",IF(AND(S$5&gt;=$C38,S$5&lt;=$D38),IF(S$5&lt;$C38+COUNTIFS('FullStack Plan'!$F$6:$F$78,$B38,'FullStack Plan'!$B$6:$B$78,"Yes",'FullStack Plan'!$L$6:$L$78,"Done"),2,1),""))</f>
        <v/>
      </c>
      <c r="T38" s="86" t="str">
        <f aca="false">IF($C38="","",IF(AND(T$5&gt;=$C38,T$5&lt;=$D38),IF(T$5&lt;$C38+COUNTIFS('FullStack Plan'!$F$6:$F$78,$B38,'FullStack Plan'!$B$6:$B$78,"Yes",'FullStack Plan'!$L$6:$L$78,"Done"),2,1),""))</f>
        <v/>
      </c>
      <c r="U38" s="86" t="str">
        <f aca="false">IF($C38="","",IF(AND(U$5&gt;=$C38,U$5&lt;=$D38),IF(U$5&lt;$C38+COUNTIFS('FullStack Plan'!$F$6:$F$78,$B38,'FullStack Plan'!$B$6:$B$78,"Yes",'FullStack Plan'!$L$6:$L$78,"Done"),2,1),""))</f>
        <v/>
      </c>
      <c r="V38" s="86" t="str">
        <f aca="false">IF($C38="","",IF(AND(V$5&gt;=$C38,V$5&lt;=$D38),IF(V$5&lt;$C38+COUNTIFS('FullStack Plan'!$F$6:$F$78,$B38,'FullStack Plan'!$B$6:$B$78,"Yes",'FullStack Plan'!$L$6:$L$78,"Done"),2,1),""))</f>
        <v/>
      </c>
      <c r="W38" s="86" t="str">
        <f aca="false">IF($C38="","",IF(AND(W$5&gt;=$C38,W$5&lt;=$D38),IF(W$5&lt;$C38+COUNTIFS('FullStack Plan'!$F$6:$F$78,$B38,'FullStack Plan'!$B$6:$B$78,"Yes",'FullStack Plan'!$L$6:$L$78,"Done"),2,1),""))</f>
        <v/>
      </c>
      <c r="X38" s="86" t="str">
        <f aca="false">IF($C38="","",IF(AND(X$5&gt;=$C38,X$5&lt;=$D38),IF(X$5&lt;$C38+COUNTIFS('FullStack Plan'!$F$6:$F$78,$B38,'FullStack Plan'!$B$6:$B$78,"Yes",'FullStack Plan'!$L$6:$L$78,"Done"),2,1),""))</f>
        <v/>
      </c>
      <c r="Y38" s="86" t="str">
        <f aca="false">IF($C38="","",IF(AND(Y$5&gt;=$C38,Y$5&lt;=$D38),IF(Y$5&lt;$C38+COUNTIFS('FullStack Plan'!$F$6:$F$78,$B38,'FullStack Plan'!$B$6:$B$78,"Yes",'FullStack Plan'!$L$6:$L$78,"Done"),2,1),""))</f>
        <v/>
      </c>
      <c r="Z38" s="86" t="str">
        <f aca="false">IF($C38="","",IF(AND(Z$5&gt;=$C38,Z$5&lt;=$D38),IF(Z$5&lt;$C38+COUNTIFS('FullStack Plan'!$F$6:$F$78,$B38,'FullStack Plan'!$B$6:$B$78,"Yes",'FullStack Plan'!$L$6:$L$78,"Done"),2,1),""))</f>
        <v/>
      </c>
      <c r="AA38" s="86" t="n">
        <f aca="false">IF($C38="","",IF(AND(AA$5&gt;=$C38,AA$5&lt;=$D38),IF(AA$5&lt;$C38+COUNTIFS('FullStack Plan'!$F$6:$F$78,$B38,'FullStack Plan'!$B$6:$B$78,"Yes",'FullStack Plan'!$L$6:$L$78,"Done"),2,1),""))</f>
        <v>1</v>
      </c>
      <c r="AB38" s="86" t="n">
        <f aca="false">IF($C38="","",IF(AND(AB$5&gt;=$C38,AB$5&lt;=$D38),IF(AB$5&lt;$C38+COUNTIFS('FullStack Plan'!$F$6:$F$78,$B38,'FullStack Plan'!$B$6:$B$78,"Yes",'FullStack Plan'!$L$6:$L$78,"Done"),2,1),""))</f>
        <v>1</v>
      </c>
      <c r="AC38" s="86" t="str">
        <f aca="false">IF($C38="","",IF(AND(AC$5&gt;=$C38,AC$5&lt;=$D38),IF(AC$5&lt;$C38+COUNTIFS('FullStack Plan'!$F$6:$F$78,$B38,'FullStack Plan'!$B$6:$B$78,"Yes",'FullStack Plan'!$L$6:$L$78,"Done"),2,1),""))</f>
        <v/>
      </c>
      <c r="AD38" s="86" t="str">
        <f aca="false">IF($C38="","",IF(AND(AD$5&gt;=$C38,AD$5&lt;=$D38),IF(AD$5&lt;$C38+COUNTIFS('FullStack Plan'!$F$6:$F$78,$B38,'FullStack Plan'!$B$6:$B$78,"Yes",'FullStack Plan'!$L$6:$L$78,"Done"),2,1),""))</f>
        <v/>
      </c>
      <c r="AE38" s="86" t="str">
        <f aca="false">IF($C38="","",IF(AND(AE$5&gt;=$C38,AE$5&lt;=$D38),IF(AE$5&lt;$C38+COUNTIFS('FullStack Plan'!$F$6:$F$78,$B38,'FullStack Plan'!$B$6:$B$78,"Yes",'FullStack Plan'!$L$6:$L$78,"Done"),2,1),""))</f>
        <v/>
      </c>
      <c r="AF38" s="86" t="str">
        <f aca="false">IF($C38="","",IF(AND(AF$5&gt;=$C38,AF$5&lt;=$D38),IF(AF$5&lt;$C38+COUNTIFS('FullStack Plan'!$F$6:$F$78,$B38,'FullStack Plan'!$B$6:$B$78,"Yes",'FullStack Plan'!$L$6:$L$78,"Done"),2,1),""))</f>
        <v/>
      </c>
      <c r="AG38" s="86" t="str">
        <f aca="false">IF($C38="","",IF(AND(AG$5&gt;=$C38,AG$5&lt;=$D38),IF(AG$5&lt;$C38+COUNTIFS('FullStack Plan'!$F$6:$F$78,$B38,'FullStack Plan'!$B$6:$B$78,"Yes",'FullStack Plan'!$L$6:$L$78,"Done"),2,1),""))</f>
        <v/>
      </c>
      <c r="AH38" s="86" t="str">
        <f aca="false">IF($C38="","",IF(AND(AH$5&gt;=$C38,AH$5&lt;=$D38),IF(AH$5&lt;$C38+COUNTIFS('FullStack Plan'!$F$6:$F$78,$B38,'FullStack Plan'!$B$6:$B$78,"Yes",'FullStack Plan'!$L$6:$L$78,"Done"),2,1),""))</f>
        <v/>
      </c>
      <c r="AI38" s="86" t="str">
        <f aca="false">IF($C38="","",IF(AND(AI$5&gt;=$C38,AI$5&lt;=$D38),IF(AI$5&lt;$C38+COUNTIFS('FullStack Plan'!$F$6:$F$78,$B38,'FullStack Plan'!$B$6:$B$78,"Yes",'FullStack Plan'!$L$6:$L$78,"Done"),2,1),""))</f>
        <v/>
      </c>
      <c r="AJ38" s="86" t="str">
        <f aca="false">IF($C38="","",IF(AND(AJ$5&gt;=$C38,AJ$5&lt;=$D38),IF(AJ$5&lt;$C38+COUNTIFS('FullStack Plan'!$F$6:$F$78,$B38,'FullStack Plan'!$B$6:$B$78,"Yes",'FullStack Plan'!$L$6:$L$78,"Done"),2,1),""))</f>
        <v/>
      </c>
      <c r="AK38" s="86" t="str">
        <f aca="false">IF($C38="","",IF(AND(AK$5&gt;=$C38,AK$5&lt;=$D38),IF(AK$5&lt;$C38+COUNTIFS('FullStack Plan'!$F$6:$F$78,$B38,'FullStack Plan'!$B$6:$B$78,"Yes",'FullStack Plan'!$L$6:$L$78,"Done"),2,1),""))</f>
        <v/>
      </c>
      <c r="AL38" s="86" t="str">
        <f aca="false">IF($C38="","",IF(AND(AL$5&gt;=$C38,AL$5&lt;=$D38),IF(AL$5&lt;$C38+COUNTIFS('FullStack Plan'!$F$6:$F$78,$B38,'FullStack Plan'!$B$6:$B$78,"Yes",'FullStack Plan'!$L$6:$L$78,"Done"),2,1),""))</f>
        <v/>
      </c>
      <c r="AM38" s="86" t="str">
        <f aca="false">IF($C38="","",IF(AND(AM$5&gt;=$C38,AM$5&lt;=$D38),IF(AM$5&lt;$C38+COUNTIFS('FullStack Plan'!$F$6:$F$78,$B38,'FullStack Plan'!$B$6:$B$78,"Yes",'FullStack Plan'!$L$6:$L$78,"Done"),2,1),""))</f>
        <v/>
      </c>
      <c r="AN38" s="86" t="str">
        <f aca="false">IF($C38="","",IF(AND(AN$5&gt;=$C38,AN$5&lt;=$D38),IF(AN$5&lt;$C38+COUNTIFS('FullStack Plan'!$F$6:$F$78,$B38,'FullStack Plan'!$B$6:$B$78,"Yes",'FullStack Plan'!$L$6:$L$78,"Done"),2,1),""))</f>
        <v/>
      </c>
      <c r="AO38" s="86" t="str">
        <f aca="false">IF($C38="","",IF(AND(AO$5&gt;=$C38,AO$5&lt;=$D38),IF(AO$5&lt;$C38+COUNTIFS('FullStack Plan'!$F$6:$F$78,$B38,'FullStack Plan'!$B$6:$B$78,"Yes",'FullStack Plan'!$L$6:$L$78,"Done"),2,1),""))</f>
        <v/>
      </c>
      <c r="AP38" s="86" t="str">
        <f aca="false">IF($C38="","",IF(AND(AP$5&gt;=$C38,AP$5&lt;=$D38),IF(AP$5&lt;$C38+COUNTIFS('FullStack Plan'!$F$6:$F$78,$B38,'FullStack Plan'!$B$6:$B$78,"Yes",'FullStack Plan'!$L$6:$L$78,"Done"),2,1),""))</f>
        <v/>
      </c>
      <c r="AQ38" s="86" t="str">
        <f aca="false">IF($C38="","",IF(AND(AQ$5&gt;=$C38,AQ$5&lt;=$D38),IF(AQ$5&lt;$C38+COUNTIFS('FullStack Plan'!$F$6:$F$78,$B38,'FullStack Plan'!$B$6:$B$78,"Yes",'FullStack Plan'!$L$6:$L$78,"Done"),2,1),""))</f>
        <v/>
      </c>
    </row>
    <row r="39" customFormat="false" ht="18" hidden="false" customHeight="true" outlineLevel="0" collapsed="false">
      <c r="A39" s="84" t="s">
        <v>20</v>
      </c>
      <c r="B39" s="91" t="s">
        <v>126</v>
      </c>
      <c r="C39" s="84" t="n">
        <f aca="false">IF(COUNTIFS('FullStack Plan'!$F$6:$F$78,$B39,'FullStack Plan'!$B$6:$B$78,"Yes")=0,"",_xlfn.MINIFS('FullStack Plan'!$A$6:$A$78,'FullStack Plan'!$F$6:$F$78,$B39,'FullStack Plan'!$B$6:$B$78,"Yes"))</f>
        <v>25</v>
      </c>
      <c r="D39" s="84" t="n">
        <f aca="false">IF(COUNTIFS('FullStack Plan'!$F$6:$F$78,$B39,'FullStack Plan'!$B$6:$B$78,"Yes")=0,"",_xlfn.MAXIFS('FullStack Plan'!$A$6:$A$78,'FullStack Plan'!$F$6:$F$78,$B39,'FullStack Plan'!$B$6:$B$78,"Yes"))</f>
        <v>28</v>
      </c>
      <c r="E39" s="86" t="str">
        <f aca="false">IF($C39="","",IF(AND(E$5&gt;=$C39,E$5&lt;=$D39),IF(E$5&lt;$C39+COUNTIFS('FullStack Plan'!$F$6:$F$78,$B39,'FullStack Plan'!$B$6:$B$78,"Yes",'FullStack Plan'!$L$6:$L$78,"Done"),2,1),""))</f>
        <v/>
      </c>
      <c r="F39" s="86" t="str">
        <f aca="false">IF($C39="","",IF(AND(F$5&gt;=$C39,F$5&lt;=$D39),IF(F$5&lt;$C39+COUNTIFS('FullStack Plan'!$F$6:$F$78,$B39,'FullStack Plan'!$B$6:$B$78,"Yes",'FullStack Plan'!$L$6:$L$78,"Done"),2,1),""))</f>
        <v/>
      </c>
      <c r="G39" s="86" t="str">
        <f aca="false">IF($C39="","",IF(AND(G$5&gt;=$C39,G$5&lt;=$D39),IF(G$5&lt;$C39+COUNTIFS('FullStack Plan'!$F$6:$F$78,$B39,'FullStack Plan'!$B$6:$B$78,"Yes",'FullStack Plan'!$L$6:$L$78,"Done"),2,1),""))</f>
        <v/>
      </c>
      <c r="H39" s="86" t="str">
        <f aca="false">IF($C39="","",IF(AND(H$5&gt;=$C39,H$5&lt;=$D39),IF(H$5&lt;$C39+COUNTIFS('FullStack Plan'!$F$6:$F$78,$B39,'FullStack Plan'!$B$6:$B$78,"Yes",'FullStack Plan'!$L$6:$L$78,"Done"),2,1),""))</f>
        <v/>
      </c>
      <c r="I39" s="86" t="str">
        <f aca="false">IF($C39="","",IF(AND(I$5&gt;=$C39,I$5&lt;=$D39),IF(I$5&lt;$C39+COUNTIFS('FullStack Plan'!$F$6:$F$78,$B39,'FullStack Plan'!$B$6:$B$78,"Yes",'FullStack Plan'!$L$6:$L$78,"Done"),2,1),""))</f>
        <v/>
      </c>
      <c r="J39" s="86" t="str">
        <f aca="false">IF($C39="","",IF(AND(J$5&gt;=$C39,J$5&lt;=$D39),IF(J$5&lt;$C39+COUNTIFS('FullStack Plan'!$F$6:$F$78,$B39,'FullStack Plan'!$B$6:$B$78,"Yes",'FullStack Plan'!$L$6:$L$78,"Done"),2,1),""))</f>
        <v/>
      </c>
      <c r="K39" s="86" t="str">
        <f aca="false">IF($C39="","",IF(AND(K$5&gt;=$C39,K$5&lt;=$D39),IF(K$5&lt;$C39+COUNTIFS('FullStack Plan'!$F$6:$F$78,$B39,'FullStack Plan'!$B$6:$B$78,"Yes",'FullStack Plan'!$L$6:$L$78,"Done"),2,1),""))</f>
        <v/>
      </c>
      <c r="L39" s="86" t="str">
        <f aca="false">IF($C39="","",IF(AND(L$5&gt;=$C39,L$5&lt;=$D39),IF(L$5&lt;$C39+COUNTIFS('FullStack Plan'!$F$6:$F$78,$B39,'FullStack Plan'!$B$6:$B$78,"Yes",'FullStack Plan'!$L$6:$L$78,"Done"),2,1),""))</f>
        <v/>
      </c>
      <c r="M39" s="86" t="str">
        <f aca="false">IF($C39="","",IF(AND(M$5&gt;=$C39,M$5&lt;=$D39),IF(M$5&lt;$C39+COUNTIFS('FullStack Plan'!$F$6:$F$78,$B39,'FullStack Plan'!$B$6:$B$78,"Yes",'FullStack Plan'!$L$6:$L$78,"Done"),2,1),""))</f>
        <v/>
      </c>
      <c r="N39" s="86" t="str">
        <f aca="false">IF($C39="","",IF(AND(N$5&gt;=$C39,N$5&lt;=$D39),IF(N$5&lt;$C39+COUNTIFS('FullStack Plan'!$F$6:$F$78,$B39,'FullStack Plan'!$B$6:$B$78,"Yes",'FullStack Plan'!$L$6:$L$78,"Done"),2,1),""))</f>
        <v/>
      </c>
      <c r="O39" s="86" t="str">
        <f aca="false">IF($C39="","",IF(AND(O$5&gt;=$C39,O$5&lt;=$D39),IF(O$5&lt;$C39+COUNTIFS('FullStack Plan'!$F$6:$F$78,$B39,'FullStack Plan'!$B$6:$B$78,"Yes",'FullStack Plan'!$L$6:$L$78,"Done"),2,1),""))</f>
        <v/>
      </c>
      <c r="P39" s="86" t="str">
        <f aca="false">IF($C39="","",IF(AND(P$5&gt;=$C39,P$5&lt;=$D39),IF(P$5&lt;$C39+COUNTIFS('FullStack Plan'!$F$6:$F$78,$B39,'FullStack Plan'!$B$6:$B$78,"Yes",'FullStack Plan'!$L$6:$L$78,"Done"),2,1),""))</f>
        <v/>
      </c>
      <c r="Q39" s="86" t="str">
        <f aca="false">IF($C39="","",IF(AND(Q$5&gt;=$C39,Q$5&lt;=$D39),IF(Q$5&lt;$C39+COUNTIFS('FullStack Plan'!$F$6:$F$78,$B39,'FullStack Plan'!$B$6:$B$78,"Yes",'FullStack Plan'!$L$6:$L$78,"Done"),2,1),""))</f>
        <v/>
      </c>
      <c r="R39" s="86" t="str">
        <f aca="false">IF($C39="","",IF(AND(R$5&gt;=$C39,R$5&lt;=$D39),IF(R$5&lt;$C39+COUNTIFS('FullStack Plan'!$F$6:$F$78,$B39,'FullStack Plan'!$B$6:$B$78,"Yes",'FullStack Plan'!$L$6:$L$78,"Done"),2,1),""))</f>
        <v/>
      </c>
      <c r="S39" s="86" t="str">
        <f aca="false">IF($C39="","",IF(AND(S$5&gt;=$C39,S$5&lt;=$D39),IF(S$5&lt;$C39+COUNTIFS('FullStack Plan'!$F$6:$F$78,$B39,'FullStack Plan'!$B$6:$B$78,"Yes",'FullStack Plan'!$L$6:$L$78,"Done"),2,1),""))</f>
        <v/>
      </c>
      <c r="T39" s="86" t="str">
        <f aca="false">IF($C39="","",IF(AND(T$5&gt;=$C39,T$5&lt;=$D39),IF(T$5&lt;$C39+COUNTIFS('FullStack Plan'!$F$6:$F$78,$B39,'FullStack Plan'!$B$6:$B$78,"Yes",'FullStack Plan'!$L$6:$L$78,"Done"),2,1),""))</f>
        <v/>
      </c>
      <c r="U39" s="86" t="str">
        <f aca="false">IF($C39="","",IF(AND(U$5&gt;=$C39,U$5&lt;=$D39),IF(U$5&lt;$C39+COUNTIFS('FullStack Plan'!$F$6:$F$78,$B39,'FullStack Plan'!$B$6:$B$78,"Yes",'FullStack Plan'!$L$6:$L$78,"Done"),2,1),""))</f>
        <v/>
      </c>
      <c r="V39" s="86" t="str">
        <f aca="false">IF($C39="","",IF(AND(V$5&gt;=$C39,V$5&lt;=$D39),IF(V$5&lt;$C39+COUNTIFS('FullStack Plan'!$F$6:$F$78,$B39,'FullStack Plan'!$B$6:$B$78,"Yes",'FullStack Plan'!$L$6:$L$78,"Done"),2,1),""))</f>
        <v/>
      </c>
      <c r="W39" s="86" t="str">
        <f aca="false">IF($C39="","",IF(AND(W$5&gt;=$C39,W$5&lt;=$D39),IF(W$5&lt;$C39+COUNTIFS('FullStack Plan'!$F$6:$F$78,$B39,'FullStack Plan'!$B$6:$B$78,"Yes",'FullStack Plan'!$L$6:$L$78,"Done"),2,1),""))</f>
        <v/>
      </c>
      <c r="X39" s="86" t="str">
        <f aca="false">IF($C39="","",IF(AND(X$5&gt;=$C39,X$5&lt;=$D39),IF(X$5&lt;$C39+COUNTIFS('FullStack Plan'!$F$6:$F$78,$B39,'FullStack Plan'!$B$6:$B$78,"Yes",'FullStack Plan'!$L$6:$L$78,"Done"),2,1),""))</f>
        <v/>
      </c>
      <c r="Y39" s="86" t="str">
        <f aca="false">IF($C39="","",IF(AND(Y$5&gt;=$C39,Y$5&lt;=$D39),IF(Y$5&lt;$C39+COUNTIFS('FullStack Plan'!$F$6:$F$78,$B39,'FullStack Plan'!$B$6:$B$78,"Yes",'FullStack Plan'!$L$6:$L$78,"Done"),2,1),""))</f>
        <v/>
      </c>
      <c r="Z39" s="86" t="str">
        <f aca="false">IF($C39="","",IF(AND(Z$5&gt;=$C39,Z$5&lt;=$D39),IF(Z$5&lt;$C39+COUNTIFS('FullStack Plan'!$F$6:$F$78,$B39,'FullStack Plan'!$B$6:$B$78,"Yes",'FullStack Plan'!$L$6:$L$78,"Done"),2,1),""))</f>
        <v/>
      </c>
      <c r="AA39" s="86" t="str">
        <f aca="false">IF($C39="","",IF(AND(AA$5&gt;=$C39,AA$5&lt;=$D39),IF(AA$5&lt;$C39+COUNTIFS('FullStack Plan'!$F$6:$F$78,$B39,'FullStack Plan'!$B$6:$B$78,"Yes",'FullStack Plan'!$L$6:$L$78,"Done"),2,1),""))</f>
        <v/>
      </c>
      <c r="AB39" s="86" t="str">
        <f aca="false">IF($C39="","",IF(AND(AB$5&gt;=$C39,AB$5&lt;=$D39),IF(AB$5&lt;$C39+COUNTIFS('FullStack Plan'!$F$6:$F$78,$B39,'FullStack Plan'!$B$6:$B$78,"Yes",'FullStack Plan'!$L$6:$L$78,"Done"),2,1),""))</f>
        <v/>
      </c>
      <c r="AC39" s="86" t="n">
        <f aca="false">IF($C39="","",IF(AND(AC$5&gt;=$C39,AC$5&lt;=$D39),IF(AC$5&lt;$C39+COUNTIFS('FullStack Plan'!$F$6:$F$78,$B39,'FullStack Plan'!$B$6:$B$78,"Yes",'FullStack Plan'!$L$6:$L$78,"Done"),2,1),""))</f>
        <v>1</v>
      </c>
      <c r="AD39" s="86" t="n">
        <f aca="false">IF($C39="","",IF(AND(AD$5&gt;=$C39,AD$5&lt;=$D39),IF(AD$5&lt;$C39+COUNTIFS('FullStack Plan'!$F$6:$F$78,$B39,'FullStack Plan'!$B$6:$B$78,"Yes",'FullStack Plan'!$L$6:$L$78,"Done"),2,1),""))</f>
        <v>1</v>
      </c>
      <c r="AE39" s="86" t="n">
        <f aca="false">IF($C39="","",IF(AND(AE$5&gt;=$C39,AE$5&lt;=$D39),IF(AE$5&lt;$C39+COUNTIFS('FullStack Plan'!$F$6:$F$78,$B39,'FullStack Plan'!$B$6:$B$78,"Yes",'FullStack Plan'!$L$6:$L$78,"Done"),2,1),""))</f>
        <v>1</v>
      </c>
      <c r="AF39" s="86" t="n">
        <f aca="false">IF($C39="","",IF(AND(AF$5&gt;=$C39,AF$5&lt;=$D39),IF(AF$5&lt;$C39+COUNTIFS('FullStack Plan'!$F$6:$F$78,$B39,'FullStack Plan'!$B$6:$B$78,"Yes",'FullStack Plan'!$L$6:$L$78,"Done"),2,1),""))</f>
        <v>1</v>
      </c>
      <c r="AG39" s="86" t="str">
        <f aca="false">IF($C39="","",IF(AND(AG$5&gt;=$C39,AG$5&lt;=$D39),IF(AG$5&lt;$C39+COUNTIFS('FullStack Plan'!$F$6:$F$78,$B39,'FullStack Plan'!$B$6:$B$78,"Yes",'FullStack Plan'!$L$6:$L$78,"Done"),2,1),""))</f>
        <v/>
      </c>
      <c r="AH39" s="86" t="str">
        <f aca="false">IF($C39="","",IF(AND(AH$5&gt;=$C39,AH$5&lt;=$D39),IF(AH$5&lt;$C39+COUNTIFS('FullStack Plan'!$F$6:$F$78,$B39,'FullStack Plan'!$B$6:$B$78,"Yes",'FullStack Plan'!$L$6:$L$78,"Done"),2,1),""))</f>
        <v/>
      </c>
      <c r="AI39" s="86" t="str">
        <f aca="false">IF($C39="","",IF(AND(AI$5&gt;=$C39,AI$5&lt;=$D39),IF(AI$5&lt;$C39+COUNTIFS('FullStack Plan'!$F$6:$F$78,$B39,'FullStack Plan'!$B$6:$B$78,"Yes",'FullStack Plan'!$L$6:$L$78,"Done"),2,1),""))</f>
        <v/>
      </c>
      <c r="AJ39" s="86" t="str">
        <f aca="false">IF($C39="","",IF(AND(AJ$5&gt;=$C39,AJ$5&lt;=$D39),IF(AJ$5&lt;$C39+COUNTIFS('FullStack Plan'!$F$6:$F$78,$B39,'FullStack Plan'!$B$6:$B$78,"Yes",'FullStack Plan'!$L$6:$L$78,"Done"),2,1),""))</f>
        <v/>
      </c>
      <c r="AK39" s="86" t="str">
        <f aca="false">IF($C39="","",IF(AND(AK$5&gt;=$C39,AK$5&lt;=$D39),IF(AK$5&lt;$C39+COUNTIFS('FullStack Plan'!$F$6:$F$78,$B39,'FullStack Plan'!$B$6:$B$78,"Yes",'FullStack Plan'!$L$6:$L$78,"Done"),2,1),""))</f>
        <v/>
      </c>
      <c r="AL39" s="86" t="str">
        <f aca="false">IF($C39="","",IF(AND(AL$5&gt;=$C39,AL$5&lt;=$D39),IF(AL$5&lt;$C39+COUNTIFS('FullStack Plan'!$F$6:$F$78,$B39,'FullStack Plan'!$B$6:$B$78,"Yes",'FullStack Plan'!$L$6:$L$78,"Done"),2,1),""))</f>
        <v/>
      </c>
      <c r="AM39" s="86" t="str">
        <f aca="false">IF($C39="","",IF(AND(AM$5&gt;=$C39,AM$5&lt;=$D39),IF(AM$5&lt;$C39+COUNTIFS('FullStack Plan'!$F$6:$F$78,$B39,'FullStack Plan'!$B$6:$B$78,"Yes",'FullStack Plan'!$L$6:$L$78,"Done"),2,1),""))</f>
        <v/>
      </c>
      <c r="AN39" s="86" t="str">
        <f aca="false">IF($C39="","",IF(AND(AN$5&gt;=$C39,AN$5&lt;=$D39),IF(AN$5&lt;$C39+COUNTIFS('FullStack Plan'!$F$6:$F$78,$B39,'FullStack Plan'!$B$6:$B$78,"Yes",'FullStack Plan'!$L$6:$L$78,"Done"),2,1),""))</f>
        <v/>
      </c>
      <c r="AO39" s="86" t="str">
        <f aca="false">IF($C39="","",IF(AND(AO$5&gt;=$C39,AO$5&lt;=$D39),IF(AO$5&lt;$C39+COUNTIFS('FullStack Plan'!$F$6:$F$78,$B39,'FullStack Plan'!$B$6:$B$78,"Yes",'FullStack Plan'!$L$6:$L$78,"Done"),2,1),""))</f>
        <v/>
      </c>
      <c r="AP39" s="86" t="str">
        <f aca="false">IF($C39="","",IF(AND(AP$5&gt;=$C39,AP$5&lt;=$D39),IF(AP$5&lt;$C39+COUNTIFS('FullStack Plan'!$F$6:$F$78,$B39,'FullStack Plan'!$B$6:$B$78,"Yes",'FullStack Plan'!$L$6:$L$78,"Done"),2,1),""))</f>
        <v/>
      </c>
      <c r="AQ39" s="86" t="str">
        <f aca="false">IF($C39="","",IF(AND(AQ$5&gt;=$C39,AQ$5&lt;=$D39),IF(AQ$5&lt;$C39+COUNTIFS('FullStack Plan'!$F$6:$F$78,$B39,'FullStack Plan'!$B$6:$B$78,"Yes",'FullStack Plan'!$L$6:$L$78,"Done"),2,1),""))</f>
        <v/>
      </c>
    </row>
    <row r="40" customFormat="false" ht="18" hidden="false" customHeight="true" outlineLevel="0" collapsed="false">
      <c r="A40" s="84" t="s">
        <v>20</v>
      </c>
      <c r="B40" s="91" t="s">
        <v>127</v>
      </c>
      <c r="C40" s="84" t="n">
        <f aca="false">IF(COUNTIFS('FullStack Plan'!$F$6:$F$78,$B40,'FullStack Plan'!$B$6:$B$78,"Yes")=0,"",_xlfn.MINIFS('FullStack Plan'!$A$6:$A$78,'FullStack Plan'!$F$6:$F$78,$B40,'FullStack Plan'!$B$6:$B$78,"Yes"))</f>
        <v>29</v>
      </c>
      <c r="D40" s="84" t="n">
        <f aca="false">IF(COUNTIFS('FullStack Plan'!$F$6:$F$78,$B40,'FullStack Plan'!$B$6:$B$78,"Yes")=0,"",_xlfn.MAXIFS('FullStack Plan'!$A$6:$A$78,'FullStack Plan'!$F$6:$F$78,$B40,'FullStack Plan'!$B$6:$B$78,"Yes"))</f>
        <v>30</v>
      </c>
      <c r="E40" s="86" t="str">
        <f aca="false">IF($C40="","",IF(AND(E$5&gt;=$C40,E$5&lt;=$D40),IF(E$5&lt;$C40+COUNTIFS('FullStack Plan'!$F$6:$F$78,$B40,'FullStack Plan'!$B$6:$B$78,"Yes",'FullStack Plan'!$L$6:$L$78,"Done"),2,1),""))</f>
        <v/>
      </c>
      <c r="F40" s="86" t="str">
        <f aca="false">IF($C40="","",IF(AND(F$5&gt;=$C40,F$5&lt;=$D40),IF(F$5&lt;$C40+COUNTIFS('FullStack Plan'!$F$6:$F$78,$B40,'FullStack Plan'!$B$6:$B$78,"Yes",'FullStack Plan'!$L$6:$L$78,"Done"),2,1),""))</f>
        <v/>
      </c>
      <c r="G40" s="86" t="str">
        <f aca="false">IF($C40="","",IF(AND(G$5&gt;=$C40,G$5&lt;=$D40),IF(G$5&lt;$C40+COUNTIFS('FullStack Plan'!$F$6:$F$78,$B40,'FullStack Plan'!$B$6:$B$78,"Yes",'FullStack Plan'!$L$6:$L$78,"Done"),2,1),""))</f>
        <v/>
      </c>
      <c r="H40" s="86" t="str">
        <f aca="false">IF($C40="","",IF(AND(H$5&gt;=$C40,H$5&lt;=$D40),IF(H$5&lt;$C40+COUNTIFS('FullStack Plan'!$F$6:$F$78,$B40,'FullStack Plan'!$B$6:$B$78,"Yes",'FullStack Plan'!$L$6:$L$78,"Done"),2,1),""))</f>
        <v/>
      </c>
      <c r="I40" s="86" t="str">
        <f aca="false">IF($C40="","",IF(AND(I$5&gt;=$C40,I$5&lt;=$D40),IF(I$5&lt;$C40+COUNTIFS('FullStack Plan'!$F$6:$F$78,$B40,'FullStack Plan'!$B$6:$B$78,"Yes",'FullStack Plan'!$L$6:$L$78,"Done"),2,1),""))</f>
        <v/>
      </c>
      <c r="J40" s="86" t="str">
        <f aca="false">IF($C40="","",IF(AND(J$5&gt;=$C40,J$5&lt;=$D40),IF(J$5&lt;$C40+COUNTIFS('FullStack Plan'!$F$6:$F$78,$B40,'FullStack Plan'!$B$6:$B$78,"Yes",'FullStack Plan'!$L$6:$L$78,"Done"),2,1),""))</f>
        <v/>
      </c>
      <c r="K40" s="86" t="str">
        <f aca="false">IF($C40="","",IF(AND(K$5&gt;=$C40,K$5&lt;=$D40),IF(K$5&lt;$C40+COUNTIFS('FullStack Plan'!$F$6:$F$78,$B40,'FullStack Plan'!$B$6:$B$78,"Yes",'FullStack Plan'!$L$6:$L$78,"Done"),2,1),""))</f>
        <v/>
      </c>
      <c r="L40" s="86" t="str">
        <f aca="false">IF($C40="","",IF(AND(L$5&gt;=$C40,L$5&lt;=$D40),IF(L$5&lt;$C40+COUNTIFS('FullStack Plan'!$F$6:$F$78,$B40,'FullStack Plan'!$B$6:$B$78,"Yes",'FullStack Plan'!$L$6:$L$78,"Done"),2,1),""))</f>
        <v/>
      </c>
      <c r="M40" s="86" t="str">
        <f aca="false">IF($C40="","",IF(AND(M$5&gt;=$C40,M$5&lt;=$D40),IF(M$5&lt;$C40+COUNTIFS('FullStack Plan'!$F$6:$F$78,$B40,'FullStack Plan'!$B$6:$B$78,"Yes",'FullStack Plan'!$L$6:$L$78,"Done"),2,1),""))</f>
        <v/>
      </c>
      <c r="N40" s="86" t="str">
        <f aca="false">IF($C40="","",IF(AND(N$5&gt;=$C40,N$5&lt;=$D40),IF(N$5&lt;$C40+COUNTIFS('FullStack Plan'!$F$6:$F$78,$B40,'FullStack Plan'!$B$6:$B$78,"Yes",'FullStack Plan'!$L$6:$L$78,"Done"),2,1),""))</f>
        <v/>
      </c>
      <c r="O40" s="86" t="str">
        <f aca="false">IF($C40="","",IF(AND(O$5&gt;=$C40,O$5&lt;=$D40),IF(O$5&lt;$C40+COUNTIFS('FullStack Plan'!$F$6:$F$78,$B40,'FullStack Plan'!$B$6:$B$78,"Yes",'FullStack Plan'!$L$6:$L$78,"Done"),2,1),""))</f>
        <v/>
      </c>
      <c r="P40" s="86" t="str">
        <f aca="false">IF($C40="","",IF(AND(P$5&gt;=$C40,P$5&lt;=$D40),IF(P$5&lt;$C40+COUNTIFS('FullStack Plan'!$F$6:$F$78,$B40,'FullStack Plan'!$B$6:$B$78,"Yes",'FullStack Plan'!$L$6:$L$78,"Done"),2,1),""))</f>
        <v/>
      </c>
      <c r="Q40" s="86" t="str">
        <f aca="false">IF($C40="","",IF(AND(Q$5&gt;=$C40,Q$5&lt;=$D40),IF(Q$5&lt;$C40+COUNTIFS('FullStack Plan'!$F$6:$F$78,$B40,'FullStack Plan'!$B$6:$B$78,"Yes",'FullStack Plan'!$L$6:$L$78,"Done"),2,1),""))</f>
        <v/>
      </c>
      <c r="R40" s="86" t="str">
        <f aca="false">IF($C40="","",IF(AND(R$5&gt;=$C40,R$5&lt;=$D40),IF(R$5&lt;$C40+COUNTIFS('FullStack Plan'!$F$6:$F$78,$B40,'FullStack Plan'!$B$6:$B$78,"Yes",'FullStack Plan'!$L$6:$L$78,"Done"),2,1),""))</f>
        <v/>
      </c>
      <c r="S40" s="86" t="str">
        <f aca="false">IF($C40="","",IF(AND(S$5&gt;=$C40,S$5&lt;=$D40),IF(S$5&lt;$C40+COUNTIFS('FullStack Plan'!$F$6:$F$78,$B40,'FullStack Plan'!$B$6:$B$78,"Yes",'FullStack Plan'!$L$6:$L$78,"Done"),2,1),""))</f>
        <v/>
      </c>
      <c r="T40" s="86" t="str">
        <f aca="false">IF($C40="","",IF(AND(T$5&gt;=$C40,T$5&lt;=$D40),IF(T$5&lt;$C40+COUNTIFS('FullStack Plan'!$F$6:$F$78,$B40,'FullStack Plan'!$B$6:$B$78,"Yes",'FullStack Plan'!$L$6:$L$78,"Done"),2,1),""))</f>
        <v/>
      </c>
      <c r="U40" s="86" t="str">
        <f aca="false">IF($C40="","",IF(AND(U$5&gt;=$C40,U$5&lt;=$D40),IF(U$5&lt;$C40+COUNTIFS('FullStack Plan'!$F$6:$F$78,$B40,'FullStack Plan'!$B$6:$B$78,"Yes",'FullStack Plan'!$L$6:$L$78,"Done"),2,1),""))</f>
        <v/>
      </c>
      <c r="V40" s="86" t="str">
        <f aca="false">IF($C40="","",IF(AND(V$5&gt;=$C40,V$5&lt;=$D40),IF(V$5&lt;$C40+COUNTIFS('FullStack Plan'!$F$6:$F$78,$B40,'FullStack Plan'!$B$6:$B$78,"Yes",'FullStack Plan'!$L$6:$L$78,"Done"),2,1),""))</f>
        <v/>
      </c>
      <c r="W40" s="86" t="str">
        <f aca="false">IF($C40="","",IF(AND(W$5&gt;=$C40,W$5&lt;=$D40),IF(W$5&lt;$C40+COUNTIFS('FullStack Plan'!$F$6:$F$78,$B40,'FullStack Plan'!$B$6:$B$78,"Yes",'FullStack Plan'!$L$6:$L$78,"Done"),2,1),""))</f>
        <v/>
      </c>
      <c r="X40" s="86" t="str">
        <f aca="false">IF($C40="","",IF(AND(X$5&gt;=$C40,X$5&lt;=$D40),IF(X$5&lt;$C40+COUNTIFS('FullStack Plan'!$F$6:$F$78,$B40,'FullStack Plan'!$B$6:$B$78,"Yes",'FullStack Plan'!$L$6:$L$78,"Done"),2,1),""))</f>
        <v/>
      </c>
      <c r="Y40" s="86" t="str">
        <f aca="false">IF($C40="","",IF(AND(Y$5&gt;=$C40,Y$5&lt;=$D40),IF(Y$5&lt;$C40+COUNTIFS('FullStack Plan'!$F$6:$F$78,$B40,'FullStack Plan'!$B$6:$B$78,"Yes",'FullStack Plan'!$L$6:$L$78,"Done"),2,1),""))</f>
        <v/>
      </c>
      <c r="Z40" s="86" t="str">
        <f aca="false">IF($C40="","",IF(AND(Z$5&gt;=$C40,Z$5&lt;=$D40),IF(Z$5&lt;$C40+COUNTIFS('FullStack Plan'!$F$6:$F$78,$B40,'FullStack Plan'!$B$6:$B$78,"Yes",'FullStack Plan'!$L$6:$L$78,"Done"),2,1),""))</f>
        <v/>
      </c>
      <c r="AA40" s="86" t="str">
        <f aca="false">IF($C40="","",IF(AND(AA$5&gt;=$C40,AA$5&lt;=$D40),IF(AA$5&lt;$C40+COUNTIFS('FullStack Plan'!$F$6:$F$78,$B40,'FullStack Plan'!$B$6:$B$78,"Yes",'FullStack Plan'!$L$6:$L$78,"Done"),2,1),""))</f>
        <v/>
      </c>
      <c r="AB40" s="86" t="str">
        <f aca="false">IF($C40="","",IF(AND(AB$5&gt;=$C40,AB$5&lt;=$D40),IF(AB$5&lt;$C40+COUNTIFS('FullStack Plan'!$F$6:$F$78,$B40,'FullStack Plan'!$B$6:$B$78,"Yes",'FullStack Plan'!$L$6:$L$78,"Done"),2,1),""))</f>
        <v/>
      </c>
      <c r="AC40" s="86" t="str">
        <f aca="false">IF($C40="","",IF(AND(AC$5&gt;=$C40,AC$5&lt;=$D40),IF(AC$5&lt;$C40+COUNTIFS('FullStack Plan'!$F$6:$F$78,$B40,'FullStack Plan'!$B$6:$B$78,"Yes",'FullStack Plan'!$L$6:$L$78,"Done"),2,1),""))</f>
        <v/>
      </c>
      <c r="AD40" s="86" t="str">
        <f aca="false">IF($C40="","",IF(AND(AD$5&gt;=$C40,AD$5&lt;=$D40),IF(AD$5&lt;$C40+COUNTIFS('FullStack Plan'!$F$6:$F$78,$B40,'FullStack Plan'!$B$6:$B$78,"Yes",'FullStack Plan'!$L$6:$L$78,"Done"),2,1),""))</f>
        <v/>
      </c>
      <c r="AE40" s="86" t="str">
        <f aca="false">IF($C40="","",IF(AND(AE$5&gt;=$C40,AE$5&lt;=$D40),IF(AE$5&lt;$C40+COUNTIFS('FullStack Plan'!$F$6:$F$78,$B40,'FullStack Plan'!$B$6:$B$78,"Yes",'FullStack Plan'!$L$6:$L$78,"Done"),2,1),""))</f>
        <v/>
      </c>
      <c r="AF40" s="86" t="str">
        <f aca="false">IF($C40="","",IF(AND(AF$5&gt;=$C40,AF$5&lt;=$D40),IF(AF$5&lt;$C40+COUNTIFS('FullStack Plan'!$F$6:$F$78,$B40,'FullStack Plan'!$B$6:$B$78,"Yes",'FullStack Plan'!$L$6:$L$78,"Done"),2,1),""))</f>
        <v/>
      </c>
      <c r="AG40" s="86" t="n">
        <f aca="false">IF($C40="","",IF(AND(AG$5&gt;=$C40,AG$5&lt;=$D40),IF(AG$5&lt;$C40+COUNTIFS('FullStack Plan'!$F$6:$F$78,$B40,'FullStack Plan'!$B$6:$B$78,"Yes",'FullStack Plan'!$L$6:$L$78,"Done"),2,1),""))</f>
        <v>1</v>
      </c>
      <c r="AH40" s="86" t="n">
        <f aca="false">IF($C40="","",IF(AND(AH$5&gt;=$C40,AH$5&lt;=$D40),IF(AH$5&lt;$C40+COUNTIFS('FullStack Plan'!$F$6:$F$78,$B40,'FullStack Plan'!$B$6:$B$78,"Yes",'FullStack Plan'!$L$6:$L$78,"Done"),2,1),""))</f>
        <v>1</v>
      </c>
      <c r="AI40" s="86" t="str">
        <f aca="false">IF($C40="","",IF(AND(AI$5&gt;=$C40,AI$5&lt;=$D40),IF(AI$5&lt;$C40+COUNTIFS('FullStack Plan'!$F$6:$F$78,$B40,'FullStack Plan'!$B$6:$B$78,"Yes",'FullStack Plan'!$L$6:$L$78,"Done"),2,1),""))</f>
        <v/>
      </c>
      <c r="AJ40" s="86" t="str">
        <f aca="false">IF($C40="","",IF(AND(AJ$5&gt;=$C40,AJ$5&lt;=$D40),IF(AJ$5&lt;$C40+COUNTIFS('FullStack Plan'!$F$6:$F$78,$B40,'FullStack Plan'!$B$6:$B$78,"Yes",'FullStack Plan'!$L$6:$L$78,"Done"),2,1),""))</f>
        <v/>
      </c>
      <c r="AK40" s="86" t="str">
        <f aca="false">IF($C40="","",IF(AND(AK$5&gt;=$C40,AK$5&lt;=$D40),IF(AK$5&lt;$C40+COUNTIFS('FullStack Plan'!$F$6:$F$78,$B40,'FullStack Plan'!$B$6:$B$78,"Yes",'FullStack Plan'!$L$6:$L$78,"Done"),2,1),""))</f>
        <v/>
      </c>
      <c r="AL40" s="86" t="str">
        <f aca="false">IF($C40="","",IF(AND(AL$5&gt;=$C40,AL$5&lt;=$D40),IF(AL$5&lt;$C40+COUNTIFS('FullStack Plan'!$F$6:$F$78,$B40,'FullStack Plan'!$B$6:$B$78,"Yes",'FullStack Plan'!$L$6:$L$78,"Done"),2,1),""))</f>
        <v/>
      </c>
      <c r="AM40" s="86" t="str">
        <f aca="false">IF($C40="","",IF(AND(AM$5&gt;=$C40,AM$5&lt;=$D40),IF(AM$5&lt;$C40+COUNTIFS('FullStack Plan'!$F$6:$F$78,$B40,'FullStack Plan'!$B$6:$B$78,"Yes",'FullStack Plan'!$L$6:$L$78,"Done"),2,1),""))</f>
        <v/>
      </c>
      <c r="AN40" s="86" t="str">
        <f aca="false">IF($C40="","",IF(AND(AN$5&gt;=$C40,AN$5&lt;=$D40),IF(AN$5&lt;$C40+COUNTIFS('FullStack Plan'!$F$6:$F$78,$B40,'FullStack Plan'!$B$6:$B$78,"Yes",'FullStack Plan'!$L$6:$L$78,"Done"),2,1),""))</f>
        <v/>
      </c>
      <c r="AO40" s="86" t="str">
        <f aca="false">IF($C40="","",IF(AND(AO$5&gt;=$C40,AO$5&lt;=$D40),IF(AO$5&lt;$C40+COUNTIFS('FullStack Plan'!$F$6:$F$78,$B40,'FullStack Plan'!$B$6:$B$78,"Yes",'FullStack Plan'!$L$6:$L$78,"Done"),2,1),""))</f>
        <v/>
      </c>
      <c r="AP40" s="86" t="str">
        <f aca="false">IF($C40="","",IF(AND(AP$5&gt;=$C40,AP$5&lt;=$D40),IF(AP$5&lt;$C40+COUNTIFS('FullStack Plan'!$F$6:$F$78,$B40,'FullStack Plan'!$B$6:$B$78,"Yes",'FullStack Plan'!$L$6:$L$78,"Done"),2,1),""))</f>
        <v/>
      </c>
      <c r="AQ40" s="86" t="str">
        <f aca="false">IF($C40="","",IF(AND(AQ$5&gt;=$C40,AQ$5&lt;=$D40),IF(AQ$5&lt;$C40+COUNTIFS('FullStack Plan'!$F$6:$F$78,$B40,'FullStack Plan'!$B$6:$B$78,"Yes",'FullStack Plan'!$L$6:$L$78,"Done"),2,1),""))</f>
        <v/>
      </c>
    </row>
    <row r="41" customFormat="false" ht="18" hidden="false" customHeight="true" outlineLevel="0" collapsed="false">
      <c r="A41" s="84" t="s">
        <v>20</v>
      </c>
      <c r="B41" s="92" t="s">
        <v>128</v>
      </c>
      <c r="C41" s="84" t="n">
        <f aca="false">IF(COUNTIFS('FullStack Plan'!$F$6:$F$78,$B41,'FullStack Plan'!$B$6:$B$78,"Yes")=0,"",_xlfn.MINIFS('FullStack Plan'!$A$6:$A$78,'FullStack Plan'!$F$6:$F$78,$B41,'FullStack Plan'!$B$6:$B$78,"Yes"))</f>
        <v>31</v>
      </c>
      <c r="D41" s="84" t="n">
        <f aca="false">IF(COUNTIFS('FullStack Plan'!$F$6:$F$78,$B41,'FullStack Plan'!$B$6:$B$78,"Yes")=0,"",_xlfn.MAXIFS('FullStack Plan'!$A$6:$A$78,'FullStack Plan'!$F$6:$F$78,$B41,'FullStack Plan'!$B$6:$B$78,"Yes"))</f>
        <v>33</v>
      </c>
      <c r="E41" s="86" t="str">
        <f aca="false">IF($C41="","",IF(AND(E$5&gt;=$C41,E$5&lt;=$D41),IF(E$5&lt;$C41+COUNTIFS('FullStack Plan'!$F$6:$F$78,$B41,'FullStack Plan'!$B$6:$B$78,"Yes",'FullStack Plan'!$L$6:$L$78,"Done"),2,1),""))</f>
        <v/>
      </c>
      <c r="F41" s="86" t="str">
        <f aca="false">IF($C41="","",IF(AND(F$5&gt;=$C41,F$5&lt;=$D41),IF(F$5&lt;$C41+COUNTIFS('FullStack Plan'!$F$6:$F$78,$B41,'FullStack Plan'!$B$6:$B$78,"Yes",'FullStack Plan'!$L$6:$L$78,"Done"),2,1),""))</f>
        <v/>
      </c>
      <c r="G41" s="86" t="str">
        <f aca="false">IF($C41="","",IF(AND(G$5&gt;=$C41,G$5&lt;=$D41),IF(G$5&lt;$C41+COUNTIFS('FullStack Plan'!$F$6:$F$78,$B41,'FullStack Plan'!$B$6:$B$78,"Yes",'FullStack Plan'!$L$6:$L$78,"Done"),2,1),""))</f>
        <v/>
      </c>
      <c r="H41" s="86" t="str">
        <f aca="false">IF($C41="","",IF(AND(H$5&gt;=$C41,H$5&lt;=$D41),IF(H$5&lt;$C41+COUNTIFS('FullStack Plan'!$F$6:$F$78,$B41,'FullStack Plan'!$B$6:$B$78,"Yes",'FullStack Plan'!$L$6:$L$78,"Done"),2,1),""))</f>
        <v/>
      </c>
      <c r="I41" s="86" t="str">
        <f aca="false">IF($C41="","",IF(AND(I$5&gt;=$C41,I$5&lt;=$D41),IF(I$5&lt;$C41+COUNTIFS('FullStack Plan'!$F$6:$F$78,$B41,'FullStack Plan'!$B$6:$B$78,"Yes",'FullStack Plan'!$L$6:$L$78,"Done"),2,1),""))</f>
        <v/>
      </c>
      <c r="J41" s="86" t="str">
        <f aca="false">IF($C41="","",IF(AND(J$5&gt;=$C41,J$5&lt;=$D41),IF(J$5&lt;$C41+COUNTIFS('FullStack Plan'!$F$6:$F$78,$B41,'FullStack Plan'!$B$6:$B$78,"Yes",'FullStack Plan'!$L$6:$L$78,"Done"),2,1),""))</f>
        <v/>
      </c>
      <c r="K41" s="86" t="str">
        <f aca="false">IF($C41="","",IF(AND(K$5&gt;=$C41,K$5&lt;=$D41),IF(K$5&lt;$C41+COUNTIFS('FullStack Plan'!$F$6:$F$78,$B41,'FullStack Plan'!$B$6:$B$78,"Yes",'FullStack Plan'!$L$6:$L$78,"Done"),2,1),""))</f>
        <v/>
      </c>
      <c r="L41" s="86" t="str">
        <f aca="false">IF($C41="","",IF(AND(L$5&gt;=$C41,L$5&lt;=$D41),IF(L$5&lt;$C41+COUNTIFS('FullStack Plan'!$F$6:$F$78,$B41,'FullStack Plan'!$B$6:$B$78,"Yes",'FullStack Plan'!$L$6:$L$78,"Done"),2,1),""))</f>
        <v/>
      </c>
      <c r="M41" s="86" t="str">
        <f aca="false">IF($C41="","",IF(AND(M$5&gt;=$C41,M$5&lt;=$D41),IF(M$5&lt;$C41+COUNTIFS('FullStack Plan'!$F$6:$F$78,$B41,'FullStack Plan'!$B$6:$B$78,"Yes",'FullStack Plan'!$L$6:$L$78,"Done"),2,1),""))</f>
        <v/>
      </c>
      <c r="N41" s="86" t="str">
        <f aca="false">IF($C41="","",IF(AND(N$5&gt;=$C41,N$5&lt;=$D41),IF(N$5&lt;$C41+COUNTIFS('FullStack Plan'!$F$6:$F$78,$B41,'FullStack Plan'!$B$6:$B$78,"Yes",'FullStack Plan'!$L$6:$L$78,"Done"),2,1),""))</f>
        <v/>
      </c>
      <c r="O41" s="86" t="str">
        <f aca="false">IF($C41="","",IF(AND(O$5&gt;=$C41,O$5&lt;=$D41),IF(O$5&lt;$C41+COUNTIFS('FullStack Plan'!$F$6:$F$78,$B41,'FullStack Plan'!$B$6:$B$78,"Yes",'FullStack Plan'!$L$6:$L$78,"Done"),2,1),""))</f>
        <v/>
      </c>
      <c r="P41" s="86" t="str">
        <f aca="false">IF($C41="","",IF(AND(P$5&gt;=$C41,P$5&lt;=$D41),IF(P$5&lt;$C41+COUNTIFS('FullStack Plan'!$F$6:$F$78,$B41,'FullStack Plan'!$B$6:$B$78,"Yes",'FullStack Plan'!$L$6:$L$78,"Done"),2,1),""))</f>
        <v/>
      </c>
      <c r="Q41" s="86" t="str">
        <f aca="false">IF($C41="","",IF(AND(Q$5&gt;=$C41,Q$5&lt;=$D41),IF(Q$5&lt;$C41+COUNTIFS('FullStack Plan'!$F$6:$F$78,$B41,'FullStack Plan'!$B$6:$B$78,"Yes",'FullStack Plan'!$L$6:$L$78,"Done"),2,1),""))</f>
        <v/>
      </c>
      <c r="R41" s="86" t="str">
        <f aca="false">IF($C41="","",IF(AND(R$5&gt;=$C41,R$5&lt;=$D41),IF(R$5&lt;$C41+COUNTIFS('FullStack Plan'!$F$6:$F$78,$B41,'FullStack Plan'!$B$6:$B$78,"Yes",'FullStack Plan'!$L$6:$L$78,"Done"),2,1),""))</f>
        <v/>
      </c>
      <c r="S41" s="86" t="str">
        <f aca="false">IF($C41="","",IF(AND(S$5&gt;=$C41,S$5&lt;=$D41),IF(S$5&lt;$C41+COUNTIFS('FullStack Plan'!$F$6:$F$78,$B41,'FullStack Plan'!$B$6:$B$78,"Yes",'FullStack Plan'!$L$6:$L$78,"Done"),2,1),""))</f>
        <v/>
      </c>
      <c r="T41" s="86" t="str">
        <f aca="false">IF($C41="","",IF(AND(T$5&gt;=$C41,T$5&lt;=$D41),IF(T$5&lt;$C41+COUNTIFS('FullStack Plan'!$F$6:$F$78,$B41,'FullStack Plan'!$B$6:$B$78,"Yes",'FullStack Plan'!$L$6:$L$78,"Done"),2,1),""))</f>
        <v/>
      </c>
      <c r="U41" s="86" t="str">
        <f aca="false">IF($C41="","",IF(AND(U$5&gt;=$C41,U$5&lt;=$D41),IF(U$5&lt;$C41+COUNTIFS('FullStack Plan'!$F$6:$F$78,$B41,'FullStack Plan'!$B$6:$B$78,"Yes",'FullStack Plan'!$L$6:$L$78,"Done"),2,1),""))</f>
        <v/>
      </c>
      <c r="V41" s="86" t="str">
        <f aca="false">IF($C41="","",IF(AND(V$5&gt;=$C41,V$5&lt;=$D41),IF(V$5&lt;$C41+COUNTIFS('FullStack Plan'!$F$6:$F$78,$B41,'FullStack Plan'!$B$6:$B$78,"Yes",'FullStack Plan'!$L$6:$L$78,"Done"),2,1),""))</f>
        <v/>
      </c>
      <c r="W41" s="86" t="str">
        <f aca="false">IF($C41="","",IF(AND(W$5&gt;=$C41,W$5&lt;=$D41),IF(W$5&lt;$C41+COUNTIFS('FullStack Plan'!$F$6:$F$78,$B41,'FullStack Plan'!$B$6:$B$78,"Yes",'FullStack Plan'!$L$6:$L$78,"Done"),2,1),""))</f>
        <v/>
      </c>
      <c r="X41" s="86" t="str">
        <f aca="false">IF($C41="","",IF(AND(X$5&gt;=$C41,X$5&lt;=$D41),IF(X$5&lt;$C41+COUNTIFS('FullStack Plan'!$F$6:$F$78,$B41,'FullStack Plan'!$B$6:$B$78,"Yes",'FullStack Plan'!$L$6:$L$78,"Done"),2,1),""))</f>
        <v/>
      </c>
      <c r="Y41" s="86" t="str">
        <f aca="false">IF($C41="","",IF(AND(Y$5&gt;=$C41,Y$5&lt;=$D41),IF(Y$5&lt;$C41+COUNTIFS('FullStack Plan'!$F$6:$F$78,$B41,'FullStack Plan'!$B$6:$B$78,"Yes",'FullStack Plan'!$L$6:$L$78,"Done"),2,1),""))</f>
        <v/>
      </c>
      <c r="Z41" s="86" t="str">
        <f aca="false">IF($C41="","",IF(AND(Z$5&gt;=$C41,Z$5&lt;=$D41),IF(Z$5&lt;$C41+COUNTIFS('FullStack Plan'!$F$6:$F$78,$B41,'FullStack Plan'!$B$6:$B$78,"Yes",'FullStack Plan'!$L$6:$L$78,"Done"),2,1),""))</f>
        <v/>
      </c>
      <c r="AA41" s="86" t="str">
        <f aca="false">IF($C41="","",IF(AND(AA$5&gt;=$C41,AA$5&lt;=$D41),IF(AA$5&lt;$C41+COUNTIFS('FullStack Plan'!$F$6:$F$78,$B41,'FullStack Plan'!$B$6:$B$78,"Yes",'FullStack Plan'!$L$6:$L$78,"Done"),2,1),""))</f>
        <v/>
      </c>
      <c r="AB41" s="86" t="str">
        <f aca="false">IF($C41="","",IF(AND(AB$5&gt;=$C41,AB$5&lt;=$D41),IF(AB$5&lt;$C41+COUNTIFS('FullStack Plan'!$F$6:$F$78,$B41,'FullStack Plan'!$B$6:$B$78,"Yes",'FullStack Plan'!$L$6:$L$78,"Done"),2,1),""))</f>
        <v/>
      </c>
      <c r="AC41" s="86" t="str">
        <f aca="false">IF($C41="","",IF(AND(AC$5&gt;=$C41,AC$5&lt;=$D41),IF(AC$5&lt;$C41+COUNTIFS('FullStack Plan'!$F$6:$F$78,$B41,'FullStack Plan'!$B$6:$B$78,"Yes",'FullStack Plan'!$L$6:$L$78,"Done"),2,1),""))</f>
        <v/>
      </c>
      <c r="AD41" s="86" t="str">
        <f aca="false">IF($C41="","",IF(AND(AD$5&gt;=$C41,AD$5&lt;=$D41),IF(AD$5&lt;$C41+COUNTIFS('FullStack Plan'!$F$6:$F$78,$B41,'FullStack Plan'!$B$6:$B$78,"Yes",'FullStack Plan'!$L$6:$L$78,"Done"),2,1),""))</f>
        <v/>
      </c>
      <c r="AE41" s="86" t="str">
        <f aca="false">IF($C41="","",IF(AND(AE$5&gt;=$C41,AE$5&lt;=$D41),IF(AE$5&lt;$C41+COUNTIFS('FullStack Plan'!$F$6:$F$78,$B41,'FullStack Plan'!$B$6:$B$78,"Yes",'FullStack Plan'!$L$6:$L$78,"Done"),2,1),""))</f>
        <v/>
      </c>
      <c r="AF41" s="86" t="str">
        <f aca="false">IF($C41="","",IF(AND(AF$5&gt;=$C41,AF$5&lt;=$D41),IF(AF$5&lt;$C41+COUNTIFS('FullStack Plan'!$F$6:$F$78,$B41,'FullStack Plan'!$B$6:$B$78,"Yes",'FullStack Plan'!$L$6:$L$78,"Done"),2,1),""))</f>
        <v/>
      </c>
      <c r="AG41" s="86" t="str">
        <f aca="false">IF($C41="","",IF(AND(AG$5&gt;=$C41,AG$5&lt;=$D41),IF(AG$5&lt;$C41+COUNTIFS('FullStack Plan'!$F$6:$F$78,$B41,'FullStack Plan'!$B$6:$B$78,"Yes",'FullStack Plan'!$L$6:$L$78,"Done"),2,1),""))</f>
        <v/>
      </c>
      <c r="AH41" s="86" t="str">
        <f aca="false">IF($C41="","",IF(AND(AH$5&gt;=$C41,AH$5&lt;=$D41),IF(AH$5&lt;$C41+COUNTIFS('FullStack Plan'!$F$6:$F$78,$B41,'FullStack Plan'!$B$6:$B$78,"Yes",'FullStack Plan'!$L$6:$L$78,"Done"),2,1),""))</f>
        <v/>
      </c>
      <c r="AI41" s="86" t="n">
        <f aca="false">IF($C41="","",IF(AND(AI$5&gt;=$C41,AI$5&lt;=$D41),IF(AI$5&lt;$C41+COUNTIFS('FullStack Plan'!$F$6:$F$78,$B41,'FullStack Plan'!$B$6:$B$78,"Yes",'FullStack Plan'!$L$6:$L$78,"Done"),2,1),""))</f>
        <v>1</v>
      </c>
      <c r="AJ41" s="86" t="n">
        <f aca="false">IF($C41="","",IF(AND(AJ$5&gt;=$C41,AJ$5&lt;=$D41),IF(AJ$5&lt;$C41+COUNTIFS('FullStack Plan'!$F$6:$F$78,$B41,'FullStack Plan'!$B$6:$B$78,"Yes",'FullStack Plan'!$L$6:$L$78,"Done"),2,1),""))</f>
        <v>1</v>
      </c>
      <c r="AK41" s="86" t="n">
        <f aca="false">IF($C41="","",IF(AND(AK$5&gt;=$C41,AK$5&lt;=$D41),IF(AK$5&lt;$C41+COUNTIFS('FullStack Plan'!$F$6:$F$78,$B41,'FullStack Plan'!$B$6:$B$78,"Yes",'FullStack Plan'!$L$6:$L$78,"Done"),2,1),""))</f>
        <v>1</v>
      </c>
      <c r="AL41" s="86" t="str">
        <f aca="false">IF($C41="","",IF(AND(AL$5&gt;=$C41,AL$5&lt;=$D41),IF(AL$5&lt;$C41+COUNTIFS('FullStack Plan'!$F$6:$F$78,$B41,'FullStack Plan'!$B$6:$B$78,"Yes",'FullStack Plan'!$L$6:$L$78,"Done"),2,1),""))</f>
        <v/>
      </c>
      <c r="AM41" s="86" t="str">
        <f aca="false">IF($C41="","",IF(AND(AM$5&gt;=$C41,AM$5&lt;=$D41),IF(AM$5&lt;$C41+COUNTIFS('FullStack Plan'!$F$6:$F$78,$B41,'FullStack Plan'!$B$6:$B$78,"Yes",'FullStack Plan'!$L$6:$L$78,"Done"),2,1),""))</f>
        <v/>
      </c>
      <c r="AN41" s="86" t="str">
        <f aca="false">IF($C41="","",IF(AND(AN$5&gt;=$C41,AN$5&lt;=$D41),IF(AN$5&lt;$C41+COUNTIFS('FullStack Plan'!$F$6:$F$78,$B41,'FullStack Plan'!$B$6:$B$78,"Yes",'FullStack Plan'!$L$6:$L$78,"Done"),2,1),""))</f>
        <v/>
      </c>
      <c r="AO41" s="86" t="str">
        <f aca="false">IF($C41="","",IF(AND(AO$5&gt;=$C41,AO$5&lt;=$D41),IF(AO$5&lt;$C41+COUNTIFS('FullStack Plan'!$F$6:$F$78,$B41,'FullStack Plan'!$B$6:$B$78,"Yes",'FullStack Plan'!$L$6:$L$78,"Done"),2,1),""))</f>
        <v/>
      </c>
      <c r="AP41" s="86" t="str">
        <f aca="false">IF($C41="","",IF(AND(AP$5&gt;=$C41,AP$5&lt;=$D41),IF(AP$5&lt;$C41+COUNTIFS('FullStack Plan'!$F$6:$F$78,$B41,'FullStack Plan'!$B$6:$B$78,"Yes",'FullStack Plan'!$L$6:$L$78,"Done"),2,1),""))</f>
        <v/>
      </c>
      <c r="AQ41" s="86" t="str">
        <f aca="false">IF($C41="","",IF(AND(AQ$5&gt;=$C41,AQ$5&lt;=$D41),IF(AQ$5&lt;$C41+COUNTIFS('FullStack Plan'!$F$6:$F$78,$B41,'FullStack Plan'!$B$6:$B$78,"Yes",'FullStack Plan'!$L$6:$L$78,"Done"),2,1),""))</f>
        <v/>
      </c>
    </row>
    <row r="42" customFormat="false" ht="18" hidden="false" customHeight="true" outlineLevel="0" collapsed="false">
      <c r="A42" s="84" t="s">
        <v>20</v>
      </c>
      <c r="B42" s="93" t="s">
        <v>98</v>
      </c>
      <c r="C42" s="84" t="n">
        <f aca="false">IF(COUNTIFS('FullStack Plan'!$F$6:$F$78,$B42,'FullStack Plan'!$B$6:$B$78,"Yes")=0,"",_xlfn.MINIFS('FullStack Plan'!$A$6:$A$78,'FullStack Plan'!$F$6:$F$78,$B42,'FullStack Plan'!$B$6:$B$78,"Yes"))</f>
        <v>34</v>
      </c>
      <c r="D42" s="84" t="n">
        <f aca="false">IF(COUNTIFS('FullStack Plan'!$F$6:$F$78,$B42,'FullStack Plan'!$B$6:$B$78,"Yes")=0,"",_xlfn.MAXIFS('FullStack Plan'!$A$6:$A$78,'FullStack Plan'!$F$6:$F$78,$B42,'FullStack Plan'!$B$6:$B$78,"Yes"))</f>
        <v>37</v>
      </c>
      <c r="E42" s="86" t="str">
        <f aca="false">IF($C42="","",IF(AND(E$5&gt;=$C42,E$5&lt;=$D42),IF(E$5&lt;$C42+COUNTIFS('FullStack Plan'!$F$6:$F$78,$B42,'FullStack Plan'!$B$6:$B$78,"Yes",'FullStack Plan'!$L$6:$L$78,"Done"),2,1),""))</f>
        <v/>
      </c>
      <c r="F42" s="86" t="str">
        <f aca="false">IF($C42="","",IF(AND(F$5&gt;=$C42,F$5&lt;=$D42),IF(F$5&lt;$C42+COUNTIFS('FullStack Plan'!$F$6:$F$78,$B42,'FullStack Plan'!$B$6:$B$78,"Yes",'FullStack Plan'!$L$6:$L$78,"Done"),2,1),""))</f>
        <v/>
      </c>
      <c r="G42" s="86" t="str">
        <f aca="false">IF($C42="","",IF(AND(G$5&gt;=$C42,G$5&lt;=$D42),IF(G$5&lt;$C42+COUNTIFS('FullStack Plan'!$F$6:$F$78,$B42,'FullStack Plan'!$B$6:$B$78,"Yes",'FullStack Plan'!$L$6:$L$78,"Done"),2,1),""))</f>
        <v/>
      </c>
      <c r="H42" s="86" t="str">
        <f aca="false">IF($C42="","",IF(AND(H$5&gt;=$C42,H$5&lt;=$D42),IF(H$5&lt;$C42+COUNTIFS('FullStack Plan'!$F$6:$F$78,$B42,'FullStack Plan'!$B$6:$B$78,"Yes",'FullStack Plan'!$L$6:$L$78,"Done"),2,1),""))</f>
        <v/>
      </c>
      <c r="I42" s="86" t="str">
        <f aca="false">IF($C42="","",IF(AND(I$5&gt;=$C42,I$5&lt;=$D42),IF(I$5&lt;$C42+COUNTIFS('FullStack Plan'!$F$6:$F$78,$B42,'FullStack Plan'!$B$6:$B$78,"Yes",'FullStack Plan'!$L$6:$L$78,"Done"),2,1),""))</f>
        <v/>
      </c>
      <c r="J42" s="86" t="str">
        <f aca="false">IF($C42="","",IF(AND(J$5&gt;=$C42,J$5&lt;=$D42),IF(J$5&lt;$C42+COUNTIFS('FullStack Plan'!$F$6:$F$78,$B42,'FullStack Plan'!$B$6:$B$78,"Yes",'FullStack Plan'!$L$6:$L$78,"Done"),2,1),""))</f>
        <v/>
      </c>
      <c r="K42" s="86" t="str">
        <f aca="false">IF($C42="","",IF(AND(K$5&gt;=$C42,K$5&lt;=$D42),IF(K$5&lt;$C42+COUNTIFS('FullStack Plan'!$F$6:$F$78,$B42,'FullStack Plan'!$B$6:$B$78,"Yes",'FullStack Plan'!$L$6:$L$78,"Done"),2,1),""))</f>
        <v/>
      </c>
      <c r="L42" s="86" t="str">
        <f aca="false">IF($C42="","",IF(AND(L$5&gt;=$C42,L$5&lt;=$D42),IF(L$5&lt;$C42+COUNTIFS('FullStack Plan'!$F$6:$F$78,$B42,'FullStack Plan'!$B$6:$B$78,"Yes",'FullStack Plan'!$L$6:$L$78,"Done"),2,1),""))</f>
        <v/>
      </c>
      <c r="M42" s="86" t="str">
        <f aca="false">IF($C42="","",IF(AND(M$5&gt;=$C42,M$5&lt;=$D42),IF(M$5&lt;$C42+COUNTIFS('FullStack Plan'!$F$6:$F$78,$B42,'FullStack Plan'!$B$6:$B$78,"Yes",'FullStack Plan'!$L$6:$L$78,"Done"),2,1),""))</f>
        <v/>
      </c>
      <c r="N42" s="86" t="str">
        <f aca="false">IF($C42="","",IF(AND(N$5&gt;=$C42,N$5&lt;=$D42),IF(N$5&lt;$C42+COUNTIFS('FullStack Plan'!$F$6:$F$78,$B42,'FullStack Plan'!$B$6:$B$78,"Yes",'FullStack Plan'!$L$6:$L$78,"Done"),2,1),""))</f>
        <v/>
      </c>
      <c r="O42" s="86" t="str">
        <f aca="false">IF($C42="","",IF(AND(O$5&gt;=$C42,O$5&lt;=$D42),IF(O$5&lt;$C42+COUNTIFS('FullStack Plan'!$F$6:$F$78,$B42,'FullStack Plan'!$B$6:$B$78,"Yes",'FullStack Plan'!$L$6:$L$78,"Done"),2,1),""))</f>
        <v/>
      </c>
      <c r="P42" s="86" t="str">
        <f aca="false">IF($C42="","",IF(AND(P$5&gt;=$C42,P$5&lt;=$D42),IF(P$5&lt;$C42+COUNTIFS('FullStack Plan'!$F$6:$F$78,$B42,'FullStack Plan'!$B$6:$B$78,"Yes",'FullStack Plan'!$L$6:$L$78,"Done"),2,1),""))</f>
        <v/>
      </c>
      <c r="Q42" s="86" t="str">
        <f aca="false">IF($C42="","",IF(AND(Q$5&gt;=$C42,Q$5&lt;=$D42),IF(Q$5&lt;$C42+COUNTIFS('FullStack Plan'!$F$6:$F$78,$B42,'FullStack Plan'!$B$6:$B$78,"Yes",'FullStack Plan'!$L$6:$L$78,"Done"),2,1),""))</f>
        <v/>
      </c>
      <c r="R42" s="86" t="str">
        <f aca="false">IF($C42="","",IF(AND(R$5&gt;=$C42,R$5&lt;=$D42),IF(R$5&lt;$C42+COUNTIFS('FullStack Plan'!$F$6:$F$78,$B42,'FullStack Plan'!$B$6:$B$78,"Yes",'FullStack Plan'!$L$6:$L$78,"Done"),2,1),""))</f>
        <v/>
      </c>
      <c r="S42" s="86" t="str">
        <f aca="false">IF($C42="","",IF(AND(S$5&gt;=$C42,S$5&lt;=$D42),IF(S$5&lt;$C42+COUNTIFS('FullStack Plan'!$F$6:$F$78,$B42,'FullStack Plan'!$B$6:$B$78,"Yes",'FullStack Plan'!$L$6:$L$78,"Done"),2,1),""))</f>
        <v/>
      </c>
      <c r="T42" s="86" t="str">
        <f aca="false">IF($C42="","",IF(AND(T$5&gt;=$C42,T$5&lt;=$D42),IF(T$5&lt;$C42+COUNTIFS('FullStack Plan'!$F$6:$F$78,$B42,'FullStack Plan'!$B$6:$B$78,"Yes",'FullStack Plan'!$L$6:$L$78,"Done"),2,1),""))</f>
        <v/>
      </c>
      <c r="U42" s="86" t="str">
        <f aca="false">IF($C42="","",IF(AND(U$5&gt;=$C42,U$5&lt;=$D42),IF(U$5&lt;$C42+COUNTIFS('FullStack Plan'!$F$6:$F$78,$B42,'FullStack Plan'!$B$6:$B$78,"Yes",'FullStack Plan'!$L$6:$L$78,"Done"),2,1),""))</f>
        <v/>
      </c>
      <c r="V42" s="86" t="str">
        <f aca="false">IF($C42="","",IF(AND(V$5&gt;=$C42,V$5&lt;=$D42),IF(V$5&lt;$C42+COUNTIFS('FullStack Plan'!$F$6:$F$78,$B42,'FullStack Plan'!$B$6:$B$78,"Yes",'FullStack Plan'!$L$6:$L$78,"Done"),2,1),""))</f>
        <v/>
      </c>
      <c r="W42" s="86" t="str">
        <f aca="false">IF($C42="","",IF(AND(W$5&gt;=$C42,W$5&lt;=$D42),IF(W$5&lt;$C42+COUNTIFS('FullStack Plan'!$F$6:$F$78,$B42,'FullStack Plan'!$B$6:$B$78,"Yes",'FullStack Plan'!$L$6:$L$78,"Done"),2,1),""))</f>
        <v/>
      </c>
      <c r="X42" s="86" t="str">
        <f aca="false">IF($C42="","",IF(AND(X$5&gt;=$C42,X$5&lt;=$D42),IF(X$5&lt;$C42+COUNTIFS('FullStack Plan'!$F$6:$F$78,$B42,'FullStack Plan'!$B$6:$B$78,"Yes",'FullStack Plan'!$L$6:$L$78,"Done"),2,1),""))</f>
        <v/>
      </c>
      <c r="Y42" s="86" t="str">
        <f aca="false">IF($C42="","",IF(AND(Y$5&gt;=$C42,Y$5&lt;=$D42),IF(Y$5&lt;$C42+COUNTIFS('FullStack Plan'!$F$6:$F$78,$B42,'FullStack Plan'!$B$6:$B$78,"Yes",'FullStack Plan'!$L$6:$L$78,"Done"),2,1),""))</f>
        <v/>
      </c>
      <c r="Z42" s="86" t="str">
        <f aca="false">IF($C42="","",IF(AND(Z$5&gt;=$C42,Z$5&lt;=$D42),IF(Z$5&lt;$C42+COUNTIFS('FullStack Plan'!$F$6:$F$78,$B42,'FullStack Plan'!$B$6:$B$78,"Yes",'FullStack Plan'!$L$6:$L$78,"Done"),2,1),""))</f>
        <v/>
      </c>
      <c r="AA42" s="86" t="str">
        <f aca="false">IF($C42="","",IF(AND(AA$5&gt;=$C42,AA$5&lt;=$D42),IF(AA$5&lt;$C42+COUNTIFS('FullStack Plan'!$F$6:$F$78,$B42,'FullStack Plan'!$B$6:$B$78,"Yes",'FullStack Plan'!$L$6:$L$78,"Done"),2,1),""))</f>
        <v/>
      </c>
      <c r="AB42" s="86" t="str">
        <f aca="false">IF($C42="","",IF(AND(AB$5&gt;=$C42,AB$5&lt;=$D42),IF(AB$5&lt;$C42+COUNTIFS('FullStack Plan'!$F$6:$F$78,$B42,'FullStack Plan'!$B$6:$B$78,"Yes",'FullStack Plan'!$L$6:$L$78,"Done"),2,1),""))</f>
        <v/>
      </c>
      <c r="AC42" s="86" t="str">
        <f aca="false">IF($C42="","",IF(AND(AC$5&gt;=$C42,AC$5&lt;=$D42),IF(AC$5&lt;$C42+COUNTIFS('FullStack Plan'!$F$6:$F$78,$B42,'FullStack Plan'!$B$6:$B$78,"Yes",'FullStack Plan'!$L$6:$L$78,"Done"),2,1),""))</f>
        <v/>
      </c>
      <c r="AD42" s="86" t="str">
        <f aca="false">IF($C42="","",IF(AND(AD$5&gt;=$C42,AD$5&lt;=$D42),IF(AD$5&lt;$C42+COUNTIFS('FullStack Plan'!$F$6:$F$78,$B42,'FullStack Plan'!$B$6:$B$78,"Yes",'FullStack Plan'!$L$6:$L$78,"Done"),2,1),""))</f>
        <v/>
      </c>
      <c r="AE42" s="86" t="str">
        <f aca="false">IF($C42="","",IF(AND(AE$5&gt;=$C42,AE$5&lt;=$D42),IF(AE$5&lt;$C42+COUNTIFS('FullStack Plan'!$F$6:$F$78,$B42,'FullStack Plan'!$B$6:$B$78,"Yes",'FullStack Plan'!$L$6:$L$78,"Done"),2,1),""))</f>
        <v/>
      </c>
      <c r="AF42" s="86" t="str">
        <f aca="false">IF($C42="","",IF(AND(AF$5&gt;=$C42,AF$5&lt;=$D42),IF(AF$5&lt;$C42+COUNTIFS('FullStack Plan'!$F$6:$F$78,$B42,'FullStack Plan'!$B$6:$B$78,"Yes",'FullStack Plan'!$L$6:$L$78,"Done"),2,1),""))</f>
        <v/>
      </c>
      <c r="AG42" s="86" t="str">
        <f aca="false">IF($C42="","",IF(AND(AG$5&gt;=$C42,AG$5&lt;=$D42),IF(AG$5&lt;$C42+COUNTIFS('FullStack Plan'!$F$6:$F$78,$B42,'FullStack Plan'!$B$6:$B$78,"Yes",'FullStack Plan'!$L$6:$L$78,"Done"),2,1),""))</f>
        <v/>
      </c>
      <c r="AH42" s="86" t="str">
        <f aca="false">IF($C42="","",IF(AND(AH$5&gt;=$C42,AH$5&lt;=$D42),IF(AH$5&lt;$C42+COUNTIFS('FullStack Plan'!$F$6:$F$78,$B42,'FullStack Plan'!$B$6:$B$78,"Yes",'FullStack Plan'!$L$6:$L$78,"Done"),2,1),""))</f>
        <v/>
      </c>
      <c r="AI42" s="86" t="str">
        <f aca="false">IF($C42="","",IF(AND(AI$5&gt;=$C42,AI$5&lt;=$D42),IF(AI$5&lt;$C42+COUNTIFS('FullStack Plan'!$F$6:$F$78,$B42,'FullStack Plan'!$B$6:$B$78,"Yes",'FullStack Plan'!$L$6:$L$78,"Done"),2,1),""))</f>
        <v/>
      </c>
      <c r="AJ42" s="86" t="str">
        <f aca="false">IF($C42="","",IF(AND(AJ$5&gt;=$C42,AJ$5&lt;=$D42),IF(AJ$5&lt;$C42+COUNTIFS('FullStack Plan'!$F$6:$F$78,$B42,'FullStack Plan'!$B$6:$B$78,"Yes",'FullStack Plan'!$L$6:$L$78,"Done"),2,1),""))</f>
        <v/>
      </c>
      <c r="AK42" s="86" t="str">
        <f aca="false">IF($C42="","",IF(AND(AK$5&gt;=$C42,AK$5&lt;=$D42),IF(AK$5&lt;$C42+COUNTIFS('FullStack Plan'!$F$6:$F$78,$B42,'FullStack Plan'!$B$6:$B$78,"Yes",'FullStack Plan'!$L$6:$L$78,"Done"),2,1),""))</f>
        <v/>
      </c>
      <c r="AL42" s="86" t="n">
        <f aca="false">IF($C42="","",IF(AND(AL$5&gt;=$C42,AL$5&lt;=$D42),IF(AL$5&lt;$C42+COUNTIFS('FullStack Plan'!$F$6:$F$78,$B42,'FullStack Plan'!$B$6:$B$78,"Yes",'FullStack Plan'!$L$6:$L$78,"Done"),2,1),""))</f>
        <v>1</v>
      </c>
      <c r="AM42" s="86" t="n">
        <f aca="false">IF($C42="","",IF(AND(AM$5&gt;=$C42,AM$5&lt;=$D42),IF(AM$5&lt;$C42+COUNTIFS('FullStack Plan'!$F$6:$F$78,$B42,'FullStack Plan'!$B$6:$B$78,"Yes",'FullStack Plan'!$L$6:$L$78,"Done"),2,1),""))</f>
        <v>1</v>
      </c>
      <c r="AN42" s="86" t="n">
        <f aca="false">IF($C42="","",IF(AND(AN$5&gt;=$C42,AN$5&lt;=$D42),IF(AN$5&lt;$C42+COUNTIFS('FullStack Plan'!$F$6:$F$78,$B42,'FullStack Plan'!$B$6:$B$78,"Yes",'FullStack Plan'!$L$6:$L$78,"Done"),2,1),""))</f>
        <v>1</v>
      </c>
      <c r="AO42" s="86" t="n">
        <f aca="false">IF($C42="","",IF(AND(AO$5&gt;=$C42,AO$5&lt;=$D42),IF(AO$5&lt;$C42+COUNTIFS('FullStack Plan'!$F$6:$F$78,$B42,'FullStack Plan'!$B$6:$B$78,"Yes",'FullStack Plan'!$L$6:$L$78,"Done"),2,1),""))</f>
        <v>1</v>
      </c>
      <c r="AP42" s="86" t="str">
        <f aca="false">IF($C42="","",IF(AND(AP$5&gt;=$C42,AP$5&lt;=$D42),IF(AP$5&lt;$C42+COUNTIFS('FullStack Plan'!$F$6:$F$78,$B42,'FullStack Plan'!$B$6:$B$78,"Yes",'FullStack Plan'!$L$6:$L$78,"Done"),2,1),""))</f>
        <v/>
      </c>
      <c r="AQ42" s="86" t="str">
        <f aca="false">IF($C42="","",IF(AND(AQ$5&gt;=$C42,AQ$5&lt;=$D42),IF(AQ$5&lt;$C42+COUNTIFS('FullStack Plan'!$F$6:$F$78,$B42,'FullStack Plan'!$B$6:$B$78,"Yes",'FullStack Plan'!$L$6:$L$78,"Done"),2,1),""))</f>
        <v/>
      </c>
    </row>
    <row r="43" customFormat="false" ht="18" hidden="false" customHeight="true" outlineLevel="0" collapsed="false">
      <c r="A43" s="84" t="s">
        <v>20</v>
      </c>
      <c r="B43" s="93" t="s">
        <v>111</v>
      </c>
      <c r="C43" s="84" t="n">
        <f aca="false">IF(COUNTIFS('FullStack Plan'!$F$6:$F$78,$B43,'FullStack Plan'!$B$6:$B$78,"Yes")=0,"",_xlfn.MINIFS('FullStack Plan'!$A$6:$A$78,'FullStack Plan'!$F$6:$F$78,$B43,'FullStack Plan'!$B$6:$B$78,"Yes"))</f>
        <v>38</v>
      </c>
      <c r="D43" s="84" t="n">
        <f aca="false">IF(COUNTIFS('FullStack Plan'!$F$6:$F$78,$B43,'FullStack Plan'!$B$6:$B$78,"Yes")=0,"",_xlfn.MAXIFS('FullStack Plan'!$A$6:$A$78,'FullStack Plan'!$F$6:$F$78,$B43,'FullStack Plan'!$B$6:$B$78,"Yes"))</f>
        <v>39</v>
      </c>
      <c r="E43" s="86" t="str">
        <f aca="false">IF($C43="","",IF(AND(E$5&gt;=$C43,E$5&lt;=$D43),IF(E$5&lt;$C43+COUNTIFS('FullStack Plan'!$F$6:$F$78,$B43,'FullStack Plan'!$B$6:$B$78,"Yes",'FullStack Plan'!$L$6:$L$78,"Done"),2,1),""))</f>
        <v/>
      </c>
      <c r="F43" s="86" t="str">
        <f aca="false">IF($C43="","",IF(AND(F$5&gt;=$C43,F$5&lt;=$D43),IF(F$5&lt;$C43+COUNTIFS('FullStack Plan'!$F$6:$F$78,$B43,'FullStack Plan'!$B$6:$B$78,"Yes",'FullStack Plan'!$L$6:$L$78,"Done"),2,1),""))</f>
        <v/>
      </c>
      <c r="G43" s="86" t="str">
        <f aca="false">IF($C43="","",IF(AND(G$5&gt;=$C43,G$5&lt;=$D43),IF(G$5&lt;$C43+COUNTIFS('FullStack Plan'!$F$6:$F$78,$B43,'FullStack Plan'!$B$6:$B$78,"Yes",'FullStack Plan'!$L$6:$L$78,"Done"),2,1),""))</f>
        <v/>
      </c>
      <c r="H43" s="86" t="str">
        <f aca="false">IF($C43="","",IF(AND(H$5&gt;=$C43,H$5&lt;=$D43),IF(H$5&lt;$C43+COUNTIFS('FullStack Plan'!$F$6:$F$78,$B43,'FullStack Plan'!$B$6:$B$78,"Yes",'FullStack Plan'!$L$6:$L$78,"Done"),2,1),""))</f>
        <v/>
      </c>
      <c r="I43" s="86" t="str">
        <f aca="false">IF($C43="","",IF(AND(I$5&gt;=$C43,I$5&lt;=$D43),IF(I$5&lt;$C43+COUNTIFS('FullStack Plan'!$F$6:$F$78,$B43,'FullStack Plan'!$B$6:$B$78,"Yes",'FullStack Plan'!$L$6:$L$78,"Done"),2,1),""))</f>
        <v/>
      </c>
      <c r="J43" s="86" t="str">
        <f aca="false">IF($C43="","",IF(AND(J$5&gt;=$C43,J$5&lt;=$D43),IF(J$5&lt;$C43+COUNTIFS('FullStack Plan'!$F$6:$F$78,$B43,'FullStack Plan'!$B$6:$B$78,"Yes",'FullStack Plan'!$L$6:$L$78,"Done"),2,1),""))</f>
        <v/>
      </c>
      <c r="K43" s="86" t="str">
        <f aca="false">IF($C43="","",IF(AND(K$5&gt;=$C43,K$5&lt;=$D43),IF(K$5&lt;$C43+COUNTIFS('FullStack Plan'!$F$6:$F$78,$B43,'FullStack Plan'!$B$6:$B$78,"Yes",'FullStack Plan'!$L$6:$L$78,"Done"),2,1),""))</f>
        <v/>
      </c>
      <c r="L43" s="86" t="str">
        <f aca="false">IF($C43="","",IF(AND(L$5&gt;=$C43,L$5&lt;=$D43),IF(L$5&lt;$C43+COUNTIFS('FullStack Plan'!$F$6:$F$78,$B43,'FullStack Plan'!$B$6:$B$78,"Yes",'FullStack Plan'!$L$6:$L$78,"Done"),2,1),""))</f>
        <v/>
      </c>
      <c r="M43" s="86" t="str">
        <f aca="false">IF($C43="","",IF(AND(M$5&gt;=$C43,M$5&lt;=$D43),IF(M$5&lt;$C43+COUNTIFS('FullStack Plan'!$F$6:$F$78,$B43,'FullStack Plan'!$B$6:$B$78,"Yes",'FullStack Plan'!$L$6:$L$78,"Done"),2,1),""))</f>
        <v/>
      </c>
      <c r="N43" s="86" t="str">
        <f aca="false">IF($C43="","",IF(AND(N$5&gt;=$C43,N$5&lt;=$D43),IF(N$5&lt;$C43+COUNTIFS('FullStack Plan'!$F$6:$F$78,$B43,'FullStack Plan'!$B$6:$B$78,"Yes",'FullStack Plan'!$L$6:$L$78,"Done"),2,1),""))</f>
        <v/>
      </c>
      <c r="O43" s="86" t="str">
        <f aca="false">IF($C43="","",IF(AND(O$5&gt;=$C43,O$5&lt;=$D43),IF(O$5&lt;$C43+COUNTIFS('FullStack Plan'!$F$6:$F$78,$B43,'FullStack Plan'!$B$6:$B$78,"Yes",'FullStack Plan'!$L$6:$L$78,"Done"),2,1),""))</f>
        <v/>
      </c>
      <c r="P43" s="86" t="str">
        <f aca="false">IF($C43="","",IF(AND(P$5&gt;=$C43,P$5&lt;=$D43),IF(P$5&lt;$C43+COUNTIFS('FullStack Plan'!$F$6:$F$78,$B43,'FullStack Plan'!$B$6:$B$78,"Yes",'FullStack Plan'!$L$6:$L$78,"Done"),2,1),""))</f>
        <v/>
      </c>
      <c r="Q43" s="86" t="str">
        <f aca="false">IF($C43="","",IF(AND(Q$5&gt;=$C43,Q$5&lt;=$D43),IF(Q$5&lt;$C43+COUNTIFS('FullStack Plan'!$F$6:$F$78,$B43,'FullStack Plan'!$B$6:$B$78,"Yes",'FullStack Plan'!$L$6:$L$78,"Done"),2,1),""))</f>
        <v/>
      </c>
      <c r="R43" s="86" t="str">
        <f aca="false">IF($C43="","",IF(AND(R$5&gt;=$C43,R$5&lt;=$D43),IF(R$5&lt;$C43+COUNTIFS('FullStack Plan'!$F$6:$F$78,$B43,'FullStack Plan'!$B$6:$B$78,"Yes",'FullStack Plan'!$L$6:$L$78,"Done"),2,1),""))</f>
        <v/>
      </c>
      <c r="S43" s="86" t="str">
        <f aca="false">IF($C43="","",IF(AND(S$5&gt;=$C43,S$5&lt;=$D43),IF(S$5&lt;$C43+COUNTIFS('FullStack Plan'!$F$6:$F$78,$B43,'FullStack Plan'!$B$6:$B$78,"Yes",'FullStack Plan'!$L$6:$L$78,"Done"),2,1),""))</f>
        <v/>
      </c>
      <c r="T43" s="86" t="str">
        <f aca="false">IF($C43="","",IF(AND(T$5&gt;=$C43,T$5&lt;=$D43),IF(T$5&lt;$C43+COUNTIFS('FullStack Plan'!$F$6:$F$78,$B43,'FullStack Plan'!$B$6:$B$78,"Yes",'FullStack Plan'!$L$6:$L$78,"Done"),2,1),""))</f>
        <v/>
      </c>
      <c r="U43" s="86" t="str">
        <f aca="false">IF($C43="","",IF(AND(U$5&gt;=$C43,U$5&lt;=$D43),IF(U$5&lt;$C43+COUNTIFS('FullStack Plan'!$F$6:$F$78,$B43,'FullStack Plan'!$B$6:$B$78,"Yes",'FullStack Plan'!$L$6:$L$78,"Done"),2,1),""))</f>
        <v/>
      </c>
      <c r="V43" s="86" t="str">
        <f aca="false">IF($C43="","",IF(AND(V$5&gt;=$C43,V$5&lt;=$D43),IF(V$5&lt;$C43+COUNTIFS('FullStack Plan'!$F$6:$F$78,$B43,'FullStack Plan'!$B$6:$B$78,"Yes",'FullStack Plan'!$L$6:$L$78,"Done"),2,1),""))</f>
        <v/>
      </c>
      <c r="W43" s="86" t="str">
        <f aca="false">IF($C43="","",IF(AND(W$5&gt;=$C43,W$5&lt;=$D43),IF(W$5&lt;$C43+COUNTIFS('FullStack Plan'!$F$6:$F$78,$B43,'FullStack Plan'!$B$6:$B$78,"Yes",'FullStack Plan'!$L$6:$L$78,"Done"),2,1),""))</f>
        <v/>
      </c>
      <c r="X43" s="86" t="str">
        <f aca="false">IF($C43="","",IF(AND(X$5&gt;=$C43,X$5&lt;=$D43),IF(X$5&lt;$C43+COUNTIFS('FullStack Plan'!$F$6:$F$78,$B43,'FullStack Plan'!$B$6:$B$78,"Yes",'FullStack Plan'!$L$6:$L$78,"Done"),2,1),""))</f>
        <v/>
      </c>
      <c r="Y43" s="86" t="str">
        <f aca="false">IF($C43="","",IF(AND(Y$5&gt;=$C43,Y$5&lt;=$D43),IF(Y$5&lt;$C43+COUNTIFS('FullStack Plan'!$F$6:$F$78,$B43,'FullStack Plan'!$B$6:$B$78,"Yes",'FullStack Plan'!$L$6:$L$78,"Done"),2,1),""))</f>
        <v/>
      </c>
      <c r="Z43" s="86" t="str">
        <f aca="false">IF($C43="","",IF(AND(Z$5&gt;=$C43,Z$5&lt;=$D43),IF(Z$5&lt;$C43+COUNTIFS('FullStack Plan'!$F$6:$F$78,$B43,'FullStack Plan'!$B$6:$B$78,"Yes",'FullStack Plan'!$L$6:$L$78,"Done"),2,1),""))</f>
        <v/>
      </c>
      <c r="AA43" s="86" t="str">
        <f aca="false">IF($C43="","",IF(AND(AA$5&gt;=$C43,AA$5&lt;=$D43),IF(AA$5&lt;$C43+COUNTIFS('FullStack Plan'!$F$6:$F$78,$B43,'FullStack Plan'!$B$6:$B$78,"Yes",'FullStack Plan'!$L$6:$L$78,"Done"),2,1),""))</f>
        <v/>
      </c>
      <c r="AB43" s="86" t="str">
        <f aca="false">IF($C43="","",IF(AND(AB$5&gt;=$C43,AB$5&lt;=$D43),IF(AB$5&lt;$C43+COUNTIFS('FullStack Plan'!$F$6:$F$78,$B43,'FullStack Plan'!$B$6:$B$78,"Yes",'FullStack Plan'!$L$6:$L$78,"Done"),2,1),""))</f>
        <v/>
      </c>
      <c r="AC43" s="86" t="str">
        <f aca="false">IF($C43="","",IF(AND(AC$5&gt;=$C43,AC$5&lt;=$D43),IF(AC$5&lt;$C43+COUNTIFS('FullStack Plan'!$F$6:$F$78,$B43,'FullStack Plan'!$B$6:$B$78,"Yes",'FullStack Plan'!$L$6:$L$78,"Done"),2,1),""))</f>
        <v/>
      </c>
      <c r="AD43" s="86" t="str">
        <f aca="false">IF($C43="","",IF(AND(AD$5&gt;=$C43,AD$5&lt;=$D43),IF(AD$5&lt;$C43+COUNTIFS('FullStack Plan'!$F$6:$F$78,$B43,'FullStack Plan'!$B$6:$B$78,"Yes",'FullStack Plan'!$L$6:$L$78,"Done"),2,1),""))</f>
        <v/>
      </c>
      <c r="AE43" s="86" t="str">
        <f aca="false">IF($C43="","",IF(AND(AE$5&gt;=$C43,AE$5&lt;=$D43),IF(AE$5&lt;$C43+COUNTIFS('FullStack Plan'!$F$6:$F$78,$B43,'FullStack Plan'!$B$6:$B$78,"Yes",'FullStack Plan'!$L$6:$L$78,"Done"),2,1),""))</f>
        <v/>
      </c>
      <c r="AF43" s="86" t="str">
        <f aca="false">IF($C43="","",IF(AND(AF$5&gt;=$C43,AF$5&lt;=$D43),IF(AF$5&lt;$C43+COUNTIFS('FullStack Plan'!$F$6:$F$78,$B43,'FullStack Plan'!$B$6:$B$78,"Yes",'FullStack Plan'!$L$6:$L$78,"Done"),2,1),""))</f>
        <v/>
      </c>
      <c r="AG43" s="86" t="str">
        <f aca="false">IF($C43="","",IF(AND(AG$5&gt;=$C43,AG$5&lt;=$D43),IF(AG$5&lt;$C43+COUNTIFS('FullStack Plan'!$F$6:$F$78,$B43,'FullStack Plan'!$B$6:$B$78,"Yes",'FullStack Plan'!$L$6:$L$78,"Done"),2,1),""))</f>
        <v/>
      </c>
      <c r="AH43" s="86" t="str">
        <f aca="false">IF($C43="","",IF(AND(AH$5&gt;=$C43,AH$5&lt;=$D43),IF(AH$5&lt;$C43+COUNTIFS('FullStack Plan'!$F$6:$F$78,$B43,'FullStack Plan'!$B$6:$B$78,"Yes",'FullStack Plan'!$L$6:$L$78,"Done"),2,1),""))</f>
        <v/>
      </c>
      <c r="AI43" s="86" t="str">
        <f aca="false">IF($C43="","",IF(AND(AI$5&gt;=$C43,AI$5&lt;=$D43),IF(AI$5&lt;$C43+COUNTIFS('FullStack Plan'!$F$6:$F$78,$B43,'FullStack Plan'!$B$6:$B$78,"Yes",'FullStack Plan'!$L$6:$L$78,"Done"),2,1),""))</f>
        <v/>
      </c>
      <c r="AJ43" s="86" t="str">
        <f aca="false">IF($C43="","",IF(AND(AJ$5&gt;=$C43,AJ$5&lt;=$D43),IF(AJ$5&lt;$C43+COUNTIFS('FullStack Plan'!$F$6:$F$78,$B43,'FullStack Plan'!$B$6:$B$78,"Yes",'FullStack Plan'!$L$6:$L$78,"Done"),2,1),""))</f>
        <v/>
      </c>
      <c r="AK43" s="86" t="str">
        <f aca="false">IF($C43="","",IF(AND(AK$5&gt;=$C43,AK$5&lt;=$D43),IF(AK$5&lt;$C43+COUNTIFS('FullStack Plan'!$F$6:$F$78,$B43,'FullStack Plan'!$B$6:$B$78,"Yes",'FullStack Plan'!$L$6:$L$78,"Done"),2,1),""))</f>
        <v/>
      </c>
      <c r="AL43" s="86" t="str">
        <f aca="false">IF($C43="","",IF(AND(AL$5&gt;=$C43,AL$5&lt;=$D43),IF(AL$5&lt;$C43+COUNTIFS('FullStack Plan'!$F$6:$F$78,$B43,'FullStack Plan'!$B$6:$B$78,"Yes",'FullStack Plan'!$L$6:$L$78,"Done"),2,1),""))</f>
        <v/>
      </c>
      <c r="AM43" s="86" t="str">
        <f aca="false">IF($C43="","",IF(AND(AM$5&gt;=$C43,AM$5&lt;=$D43),IF(AM$5&lt;$C43+COUNTIFS('FullStack Plan'!$F$6:$F$78,$B43,'FullStack Plan'!$B$6:$B$78,"Yes",'FullStack Plan'!$L$6:$L$78,"Done"),2,1),""))</f>
        <v/>
      </c>
      <c r="AN43" s="86" t="str">
        <f aca="false">IF($C43="","",IF(AND(AN$5&gt;=$C43,AN$5&lt;=$D43),IF(AN$5&lt;$C43+COUNTIFS('FullStack Plan'!$F$6:$F$78,$B43,'FullStack Plan'!$B$6:$B$78,"Yes",'FullStack Plan'!$L$6:$L$78,"Done"),2,1),""))</f>
        <v/>
      </c>
      <c r="AO43" s="86" t="str">
        <f aca="false">IF($C43="","",IF(AND(AO$5&gt;=$C43,AO$5&lt;=$D43),IF(AO$5&lt;$C43+COUNTIFS('FullStack Plan'!$F$6:$F$78,$B43,'FullStack Plan'!$B$6:$B$78,"Yes",'FullStack Plan'!$L$6:$L$78,"Done"),2,1),""))</f>
        <v/>
      </c>
      <c r="AP43" s="86" t="n">
        <f aca="false">IF($C43="","",IF(AND(AP$5&gt;=$C43,AP$5&lt;=$D43),IF(AP$5&lt;$C43+COUNTIFS('FullStack Plan'!$F$6:$F$78,$B43,'FullStack Plan'!$B$6:$B$78,"Yes",'FullStack Plan'!$L$6:$L$78,"Done"),2,1),""))</f>
        <v>1</v>
      </c>
      <c r="AQ43" s="86" t="n">
        <f aca="false">IF($C43="","",IF(AND(AQ$5&gt;=$C43,AQ$5&lt;=$D43),IF(AQ$5&lt;$C43+COUNTIFS('FullStack Plan'!$F$6:$F$78,$B43,'FullStack Plan'!$B$6:$B$78,"Yes",'FullStack Plan'!$L$6:$L$78,"Done"),2,1),""))</f>
        <v>1</v>
      </c>
    </row>
    <row r="44" customFormat="false" ht="18" hidden="false" customHeight="true" outlineLevel="0" collapsed="false">
      <c r="A44" s="84" t="s">
        <v>20</v>
      </c>
      <c r="B44" s="94" t="s">
        <v>129</v>
      </c>
      <c r="C44" s="84" t="str">
        <f aca="false">IF(COUNTIFS('FullStack Plan'!$F$6:$F$78,$B44,'FullStack Plan'!$B$6:$B$78,"Yes")=0,"",_xlfn.MINIFS('FullStack Plan'!$A$6:$A$78,'FullStack Plan'!$F$6:$F$78,$B44,'FullStack Plan'!$B$6:$B$78,"Yes"))</f>
        <v/>
      </c>
      <c r="D44" s="84" t="str">
        <f aca="false">IF(COUNTIFS('FullStack Plan'!$F$6:$F$78,$B44,'FullStack Plan'!$B$6:$B$78,"Yes")=0,"",_xlfn.MAXIFS('FullStack Plan'!$A$6:$A$78,'FullStack Plan'!$F$6:$F$78,$B44,'FullStack Plan'!$B$6:$B$78,"Yes"))</f>
        <v/>
      </c>
      <c r="E44" s="86" t="str">
        <f aca="false">IF($C44="","",IF(AND(E$5&gt;=$C44,E$5&lt;=$D44),IF(E$5&lt;$C44+COUNTIFS('FullStack Plan'!$F$6:$F$78,$B44,'FullStack Plan'!$B$6:$B$78,"Yes",'FullStack Plan'!$L$6:$L$78,"Done"),2,1),""))</f>
        <v/>
      </c>
      <c r="F44" s="86" t="str">
        <f aca="false">IF($C44="","",IF(AND(F$5&gt;=$C44,F$5&lt;=$D44),IF(F$5&lt;$C44+COUNTIFS('FullStack Plan'!$F$6:$F$78,$B44,'FullStack Plan'!$B$6:$B$78,"Yes",'FullStack Plan'!$L$6:$L$78,"Done"),2,1),""))</f>
        <v/>
      </c>
      <c r="G44" s="86" t="str">
        <f aca="false">IF($C44="","",IF(AND(G$5&gt;=$C44,G$5&lt;=$D44),IF(G$5&lt;$C44+COUNTIFS('FullStack Plan'!$F$6:$F$78,$B44,'FullStack Plan'!$B$6:$B$78,"Yes",'FullStack Plan'!$L$6:$L$78,"Done"),2,1),""))</f>
        <v/>
      </c>
      <c r="H44" s="86" t="str">
        <f aca="false">IF($C44="","",IF(AND(H$5&gt;=$C44,H$5&lt;=$D44),IF(H$5&lt;$C44+COUNTIFS('FullStack Plan'!$F$6:$F$78,$B44,'FullStack Plan'!$B$6:$B$78,"Yes",'FullStack Plan'!$L$6:$L$78,"Done"),2,1),""))</f>
        <v/>
      </c>
      <c r="I44" s="86" t="str">
        <f aca="false">IF($C44="","",IF(AND(I$5&gt;=$C44,I$5&lt;=$D44),IF(I$5&lt;$C44+COUNTIFS('FullStack Plan'!$F$6:$F$78,$B44,'FullStack Plan'!$B$6:$B$78,"Yes",'FullStack Plan'!$L$6:$L$78,"Done"),2,1),""))</f>
        <v/>
      </c>
      <c r="J44" s="86" t="str">
        <f aca="false">IF($C44="","",IF(AND(J$5&gt;=$C44,J$5&lt;=$D44),IF(J$5&lt;$C44+COUNTIFS('FullStack Plan'!$F$6:$F$78,$B44,'FullStack Plan'!$B$6:$B$78,"Yes",'FullStack Plan'!$L$6:$L$78,"Done"),2,1),""))</f>
        <v/>
      </c>
      <c r="K44" s="86" t="str">
        <f aca="false">IF($C44="","",IF(AND(K$5&gt;=$C44,K$5&lt;=$D44),IF(K$5&lt;$C44+COUNTIFS('FullStack Plan'!$F$6:$F$78,$B44,'FullStack Plan'!$B$6:$B$78,"Yes",'FullStack Plan'!$L$6:$L$78,"Done"),2,1),""))</f>
        <v/>
      </c>
      <c r="L44" s="86" t="str">
        <f aca="false">IF($C44="","",IF(AND(L$5&gt;=$C44,L$5&lt;=$D44),IF(L$5&lt;$C44+COUNTIFS('FullStack Plan'!$F$6:$F$78,$B44,'FullStack Plan'!$B$6:$B$78,"Yes",'FullStack Plan'!$L$6:$L$78,"Done"),2,1),""))</f>
        <v/>
      </c>
      <c r="M44" s="86" t="str">
        <f aca="false">IF($C44="","",IF(AND(M$5&gt;=$C44,M$5&lt;=$D44),IF(M$5&lt;$C44+COUNTIFS('FullStack Plan'!$F$6:$F$78,$B44,'FullStack Plan'!$B$6:$B$78,"Yes",'FullStack Plan'!$L$6:$L$78,"Done"),2,1),""))</f>
        <v/>
      </c>
      <c r="N44" s="86" t="str">
        <f aca="false">IF($C44="","",IF(AND(N$5&gt;=$C44,N$5&lt;=$D44),IF(N$5&lt;$C44+COUNTIFS('FullStack Plan'!$F$6:$F$78,$B44,'FullStack Plan'!$B$6:$B$78,"Yes",'FullStack Plan'!$L$6:$L$78,"Done"),2,1),""))</f>
        <v/>
      </c>
      <c r="O44" s="86" t="str">
        <f aca="false">IF($C44="","",IF(AND(O$5&gt;=$C44,O$5&lt;=$D44),IF(O$5&lt;$C44+COUNTIFS('FullStack Plan'!$F$6:$F$78,$B44,'FullStack Plan'!$B$6:$B$78,"Yes",'FullStack Plan'!$L$6:$L$78,"Done"),2,1),""))</f>
        <v/>
      </c>
      <c r="P44" s="86" t="str">
        <f aca="false">IF($C44="","",IF(AND(P$5&gt;=$C44,P$5&lt;=$D44),IF(P$5&lt;$C44+COUNTIFS('FullStack Plan'!$F$6:$F$78,$B44,'FullStack Plan'!$B$6:$B$78,"Yes",'FullStack Plan'!$L$6:$L$78,"Done"),2,1),""))</f>
        <v/>
      </c>
      <c r="Q44" s="86" t="str">
        <f aca="false">IF($C44="","",IF(AND(Q$5&gt;=$C44,Q$5&lt;=$D44),IF(Q$5&lt;$C44+COUNTIFS('FullStack Plan'!$F$6:$F$78,$B44,'FullStack Plan'!$B$6:$B$78,"Yes",'FullStack Plan'!$L$6:$L$78,"Done"),2,1),""))</f>
        <v/>
      </c>
      <c r="R44" s="86" t="str">
        <f aca="false">IF($C44="","",IF(AND(R$5&gt;=$C44,R$5&lt;=$D44),IF(R$5&lt;$C44+COUNTIFS('FullStack Plan'!$F$6:$F$78,$B44,'FullStack Plan'!$B$6:$B$78,"Yes",'FullStack Plan'!$L$6:$L$78,"Done"),2,1),""))</f>
        <v/>
      </c>
      <c r="S44" s="86" t="str">
        <f aca="false">IF($C44="","",IF(AND(S$5&gt;=$C44,S$5&lt;=$D44),IF(S$5&lt;$C44+COUNTIFS('FullStack Plan'!$F$6:$F$78,$B44,'FullStack Plan'!$B$6:$B$78,"Yes",'FullStack Plan'!$L$6:$L$78,"Done"),2,1),""))</f>
        <v/>
      </c>
      <c r="T44" s="86" t="str">
        <f aca="false">IF($C44="","",IF(AND(T$5&gt;=$C44,T$5&lt;=$D44),IF(T$5&lt;$C44+COUNTIFS('FullStack Plan'!$F$6:$F$78,$B44,'FullStack Plan'!$B$6:$B$78,"Yes",'FullStack Plan'!$L$6:$L$78,"Done"),2,1),""))</f>
        <v/>
      </c>
      <c r="U44" s="86" t="str">
        <f aca="false">IF($C44="","",IF(AND(U$5&gt;=$C44,U$5&lt;=$D44),IF(U$5&lt;$C44+COUNTIFS('FullStack Plan'!$F$6:$F$78,$B44,'FullStack Plan'!$B$6:$B$78,"Yes",'FullStack Plan'!$L$6:$L$78,"Done"),2,1),""))</f>
        <v/>
      </c>
      <c r="V44" s="86" t="str">
        <f aca="false">IF($C44="","",IF(AND(V$5&gt;=$C44,V$5&lt;=$D44),IF(V$5&lt;$C44+COUNTIFS('FullStack Plan'!$F$6:$F$78,$B44,'FullStack Plan'!$B$6:$B$78,"Yes",'FullStack Plan'!$L$6:$L$78,"Done"),2,1),""))</f>
        <v/>
      </c>
      <c r="W44" s="86" t="str">
        <f aca="false">IF($C44="","",IF(AND(W$5&gt;=$C44,W$5&lt;=$D44),IF(W$5&lt;$C44+COUNTIFS('FullStack Plan'!$F$6:$F$78,$B44,'FullStack Plan'!$B$6:$B$78,"Yes",'FullStack Plan'!$L$6:$L$78,"Done"),2,1),""))</f>
        <v/>
      </c>
      <c r="X44" s="86" t="str">
        <f aca="false">IF($C44="","",IF(AND(X$5&gt;=$C44,X$5&lt;=$D44),IF(X$5&lt;$C44+COUNTIFS('FullStack Plan'!$F$6:$F$78,$B44,'FullStack Plan'!$B$6:$B$78,"Yes",'FullStack Plan'!$L$6:$L$78,"Done"),2,1),""))</f>
        <v/>
      </c>
      <c r="Y44" s="86" t="str">
        <f aca="false">IF($C44="","",IF(AND(Y$5&gt;=$C44,Y$5&lt;=$D44),IF(Y$5&lt;$C44+COUNTIFS('FullStack Plan'!$F$6:$F$78,$B44,'FullStack Plan'!$B$6:$B$78,"Yes",'FullStack Plan'!$L$6:$L$78,"Done"),2,1),""))</f>
        <v/>
      </c>
      <c r="Z44" s="86" t="str">
        <f aca="false">IF($C44="","",IF(AND(Z$5&gt;=$C44,Z$5&lt;=$D44),IF(Z$5&lt;$C44+COUNTIFS('FullStack Plan'!$F$6:$F$78,$B44,'FullStack Plan'!$B$6:$B$78,"Yes",'FullStack Plan'!$L$6:$L$78,"Done"),2,1),""))</f>
        <v/>
      </c>
      <c r="AA44" s="86" t="str">
        <f aca="false">IF($C44="","",IF(AND(AA$5&gt;=$C44,AA$5&lt;=$D44),IF(AA$5&lt;$C44+COUNTIFS('FullStack Plan'!$F$6:$F$78,$B44,'FullStack Plan'!$B$6:$B$78,"Yes",'FullStack Plan'!$L$6:$L$78,"Done"),2,1),""))</f>
        <v/>
      </c>
      <c r="AB44" s="86" t="str">
        <f aca="false">IF($C44="","",IF(AND(AB$5&gt;=$C44,AB$5&lt;=$D44),IF(AB$5&lt;$C44+COUNTIFS('FullStack Plan'!$F$6:$F$78,$B44,'FullStack Plan'!$B$6:$B$78,"Yes",'FullStack Plan'!$L$6:$L$78,"Done"),2,1),""))</f>
        <v/>
      </c>
      <c r="AC44" s="86" t="str">
        <f aca="false">IF($C44="","",IF(AND(AC$5&gt;=$C44,AC$5&lt;=$D44),IF(AC$5&lt;$C44+COUNTIFS('FullStack Plan'!$F$6:$F$78,$B44,'FullStack Plan'!$B$6:$B$78,"Yes",'FullStack Plan'!$L$6:$L$78,"Done"),2,1),""))</f>
        <v/>
      </c>
      <c r="AD44" s="86" t="str">
        <f aca="false">IF($C44="","",IF(AND(AD$5&gt;=$C44,AD$5&lt;=$D44),IF(AD$5&lt;$C44+COUNTIFS('FullStack Plan'!$F$6:$F$78,$B44,'FullStack Plan'!$B$6:$B$78,"Yes",'FullStack Plan'!$L$6:$L$78,"Done"),2,1),""))</f>
        <v/>
      </c>
      <c r="AE44" s="86" t="str">
        <f aca="false">IF($C44="","",IF(AND(AE$5&gt;=$C44,AE$5&lt;=$D44),IF(AE$5&lt;$C44+COUNTIFS('FullStack Plan'!$F$6:$F$78,$B44,'FullStack Plan'!$B$6:$B$78,"Yes",'FullStack Plan'!$L$6:$L$78,"Done"),2,1),""))</f>
        <v/>
      </c>
      <c r="AF44" s="86" t="str">
        <f aca="false">IF($C44="","",IF(AND(AF$5&gt;=$C44,AF$5&lt;=$D44),IF(AF$5&lt;$C44+COUNTIFS('FullStack Plan'!$F$6:$F$78,$B44,'FullStack Plan'!$B$6:$B$78,"Yes",'FullStack Plan'!$L$6:$L$78,"Done"),2,1),""))</f>
        <v/>
      </c>
      <c r="AG44" s="86" t="str">
        <f aca="false">IF($C44="","",IF(AND(AG$5&gt;=$C44,AG$5&lt;=$D44),IF(AG$5&lt;$C44+COUNTIFS('FullStack Plan'!$F$6:$F$78,$B44,'FullStack Plan'!$B$6:$B$78,"Yes",'FullStack Plan'!$L$6:$L$78,"Done"),2,1),""))</f>
        <v/>
      </c>
      <c r="AH44" s="86" t="str">
        <f aca="false">IF($C44="","",IF(AND(AH$5&gt;=$C44,AH$5&lt;=$D44),IF(AH$5&lt;$C44+COUNTIFS('FullStack Plan'!$F$6:$F$78,$B44,'FullStack Plan'!$B$6:$B$78,"Yes",'FullStack Plan'!$L$6:$L$78,"Done"),2,1),""))</f>
        <v/>
      </c>
      <c r="AI44" s="86" t="str">
        <f aca="false">IF($C44="","",IF(AND(AI$5&gt;=$C44,AI$5&lt;=$D44),IF(AI$5&lt;$C44+COUNTIFS('FullStack Plan'!$F$6:$F$78,$B44,'FullStack Plan'!$B$6:$B$78,"Yes",'FullStack Plan'!$L$6:$L$78,"Done"),2,1),""))</f>
        <v/>
      </c>
      <c r="AJ44" s="86" t="str">
        <f aca="false">IF($C44="","",IF(AND(AJ$5&gt;=$C44,AJ$5&lt;=$D44),IF(AJ$5&lt;$C44+COUNTIFS('FullStack Plan'!$F$6:$F$78,$B44,'FullStack Plan'!$B$6:$B$78,"Yes",'FullStack Plan'!$L$6:$L$78,"Done"),2,1),""))</f>
        <v/>
      </c>
      <c r="AK44" s="86" t="str">
        <f aca="false">IF($C44="","",IF(AND(AK$5&gt;=$C44,AK$5&lt;=$D44),IF(AK$5&lt;$C44+COUNTIFS('FullStack Plan'!$F$6:$F$78,$B44,'FullStack Plan'!$B$6:$B$78,"Yes",'FullStack Plan'!$L$6:$L$78,"Done"),2,1),""))</f>
        <v/>
      </c>
      <c r="AL44" s="86" t="str">
        <f aca="false">IF($C44="","",IF(AND(AL$5&gt;=$C44,AL$5&lt;=$D44),IF(AL$5&lt;$C44+COUNTIFS('FullStack Plan'!$F$6:$F$78,$B44,'FullStack Plan'!$B$6:$B$78,"Yes",'FullStack Plan'!$L$6:$L$78,"Done"),2,1),""))</f>
        <v/>
      </c>
      <c r="AM44" s="86" t="str">
        <f aca="false">IF($C44="","",IF(AND(AM$5&gt;=$C44,AM$5&lt;=$D44),IF(AM$5&lt;$C44+COUNTIFS('FullStack Plan'!$F$6:$F$78,$B44,'FullStack Plan'!$B$6:$B$78,"Yes",'FullStack Plan'!$L$6:$L$78,"Done"),2,1),""))</f>
        <v/>
      </c>
      <c r="AN44" s="86" t="str">
        <f aca="false">IF($C44="","",IF(AND(AN$5&gt;=$C44,AN$5&lt;=$D44),IF(AN$5&lt;$C44+COUNTIFS('FullStack Plan'!$F$6:$F$78,$B44,'FullStack Plan'!$B$6:$B$78,"Yes",'FullStack Plan'!$L$6:$L$78,"Done"),2,1),""))</f>
        <v/>
      </c>
      <c r="AO44" s="86" t="str">
        <f aca="false">IF($C44="","",IF(AND(AO$5&gt;=$C44,AO$5&lt;=$D44),IF(AO$5&lt;$C44+COUNTIFS('FullStack Plan'!$F$6:$F$78,$B44,'FullStack Plan'!$B$6:$B$78,"Yes",'FullStack Plan'!$L$6:$L$78,"Done"),2,1),""))</f>
        <v/>
      </c>
      <c r="AP44" s="86" t="str">
        <f aca="false">IF($C44="","",IF(AND(AP$5&gt;=$C44,AP$5&lt;=$D44),IF(AP$5&lt;$C44+COUNTIFS('FullStack Plan'!$F$6:$F$78,$B44,'FullStack Plan'!$B$6:$B$78,"Yes",'FullStack Plan'!$L$6:$L$78,"Done"),2,1),""))</f>
        <v/>
      </c>
      <c r="AQ44" s="86" t="str">
        <f aca="false">IF($C44="","",IF(AND(AQ$5&gt;=$C44,AQ$5&lt;=$D44),IF(AQ$5&lt;$C44+COUNTIFS('FullStack Plan'!$F$6:$F$78,$B44,'FullStack Plan'!$B$6:$B$78,"Yes",'FullStack Plan'!$L$6:$L$78,"Done"),2,1),""))</f>
        <v/>
      </c>
    </row>
    <row r="45" customFormat="false" ht="18" hidden="false" customHeight="true" outlineLevel="0" collapsed="false">
      <c r="A45" s="84" t="s">
        <v>20</v>
      </c>
      <c r="B45" s="94" t="s">
        <v>130</v>
      </c>
      <c r="C45" s="84" t="str">
        <f aca="false">IF(COUNTIFS('FullStack Plan'!$F$6:$F$78,$B45,'FullStack Plan'!$B$6:$B$78,"Yes")=0,"",_xlfn.MINIFS('FullStack Plan'!$A$6:$A$78,'FullStack Plan'!$F$6:$F$78,$B45,'FullStack Plan'!$B$6:$B$78,"Yes"))</f>
        <v/>
      </c>
      <c r="D45" s="84" t="str">
        <f aca="false">IF(COUNTIFS('FullStack Plan'!$F$6:$F$78,$B45,'FullStack Plan'!$B$6:$B$78,"Yes")=0,"",_xlfn.MAXIFS('FullStack Plan'!$A$6:$A$78,'FullStack Plan'!$F$6:$F$78,$B45,'FullStack Plan'!$B$6:$B$78,"Yes"))</f>
        <v/>
      </c>
      <c r="E45" s="86" t="str">
        <f aca="false">IF($C45="","",IF(AND(E$5&gt;=$C45,E$5&lt;=$D45),IF(E$5&lt;$C45+COUNTIFS('FullStack Plan'!$F$6:$F$78,$B45,'FullStack Plan'!$B$6:$B$78,"Yes",'FullStack Plan'!$L$6:$L$78,"Done"),2,1),""))</f>
        <v/>
      </c>
      <c r="F45" s="86" t="str">
        <f aca="false">IF($C45="","",IF(AND(F$5&gt;=$C45,F$5&lt;=$D45),IF(F$5&lt;$C45+COUNTIFS('FullStack Plan'!$F$6:$F$78,$B45,'FullStack Plan'!$B$6:$B$78,"Yes",'FullStack Plan'!$L$6:$L$78,"Done"),2,1),""))</f>
        <v/>
      </c>
      <c r="G45" s="86" t="str">
        <f aca="false">IF($C45="","",IF(AND(G$5&gt;=$C45,G$5&lt;=$D45),IF(G$5&lt;$C45+COUNTIFS('FullStack Plan'!$F$6:$F$78,$B45,'FullStack Plan'!$B$6:$B$78,"Yes",'FullStack Plan'!$L$6:$L$78,"Done"),2,1),""))</f>
        <v/>
      </c>
      <c r="H45" s="86" t="str">
        <f aca="false">IF($C45="","",IF(AND(H$5&gt;=$C45,H$5&lt;=$D45),IF(H$5&lt;$C45+COUNTIFS('FullStack Plan'!$F$6:$F$78,$B45,'FullStack Plan'!$B$6:$B$78,"Yes",'FullStack Plan'!$L$6:$L$78,"Done"),2,1),""))</f>
        <v/>
      </c>
      <c r="I45" s="86" t="str">
        <f aca="false">IF($C45="","",IF(AND(I$5&gt;=$C45,I$5&lt;=$D45),IF(I$5&lt;$C45+COUNTIFS('FullStack Plan'!$F$6:$F$78,$B45,'FullStack Plan'!$B$6:$B$78,"Yes",'FullStack Plan'!$L$6:$L$78,"Done"),2,1),""))</f>
        <v/>
      </c>
      <c r="J45" s="86" t="str">
        <f aca="false">IF($C45="","",IF(AND(J$5&gt;=$C45,J$5&lt;=$D45),IF(J$5&lt;$C45+COUNTIFS('FullStack Plan'!$F$6:$F$78,$B45,'FullStack Plan'!$B$6:$B$78,"Yes",'FullStack Plan'!$L$6:$L$78,"Done"),2,1),""))</f>
        <v/>
      </c>
      <c r="K45" s="86" t="str">
        <f aca="false">IF($C45="","",IF(AND(K$5&gt;=$C45,K$5&lt;=$D45),IF(K$5&lt;$C45+COUNTIFS('FullStack Plan'!$F$6:$F$78,$B45,'FullStack Plan'!$B$6:$B$78,"Yes",'FullStack Plan'!$L$6:$L$78,"Done"),2,1),""))</f>
        <v/>
      </c>
      <c r="L45" s="86" t="str">
        <f aca="false">IF($C45="","",IF(AND(L$5&gt;=$C45,L$5&lt;=$D45),IF(L$5&lt;$C45+COUNTIFS('FullStack Plan'!$F$6:$F$78,$B45,'FullStack Plan'!$B$6:$B$78,"Yes",'FullStack Plan'!$L$6:$L$78,"Done"),2,1),""))</f>
        <v/>
      </c>
      <c r="M45" s="86" t="str">
        <f aca="false">IF($C45="","",IF(AND(M$5&gt;=$C45,M$5&lt;=$D45),IF(M$5&lt;$C45+COUNTIFS('FullStack Plan'!$F$6:$F$78,$B45,'FullStack Plan'!$B$6:$B$78,"Yes",'FullStack Plan'!$L$6:$L$78,"Done"),2,1),""))</f>
        <v/>
      </c>
      <c r="N45" s="86" t="str">
        <f aca="false">IF($C45="","",IF(AND(N$5&gt;=$C45,N$5&lt;=$D45),IF(N$5&lt;$C45+COUNTIFS('FullStack Plan'!$F$6:$F$78,$B45,'FullStack Plan'!$B$6:$B$78,"Yes",'FullStack Plan'!$L$6:$L$78,"Done"),2,1),""))</f>
        <v/>
      </c>
      <c r="O45" s="86" t="str">
        <f aca="false">IF($C45="","",IF(AND(O$5&gt;=$C45,O$5&lt;=$D45),IF(O$5&lt;$C45+COUNTIFS('FullStack Plan'!$F$6:$F$78,$B45,'FullStack Plan'!$B$6:$B$78,"Yes",'FullStack Plan'!$L$6:$L$78,"Done"),2,1),""))</f>
        <v/>
      </c>
      <c r="P45" s="86" t="str">
        <f aca="false">IF($C45="","",IF(AND(P$5&gt;=$C45,P$5&lt;=$D45),IF(P$5&lt;$C45+COUNTIFS('FullStack Plan'!$F$6:$F$78,$B45,'FullStack Plan'!$B$6:$B$78,"Yes",'FullStack Plan'!$L$6:$L$78,"Done"),2,1),""))</f>
        <v/>
      </c>
      <c r="Q45" s="86" t="str">
        <f aca="false">IF($C45="","",IF(AND(Q$5&gt;=$C45,Q$5&lt;=$D45),IF(Q$5&lt;$C45+COUNTIFS('FullStack Plan'!$F$6:$F$78,$B45,'FullStack Plan'!$B$6:$B$78,"Yes",'FullStack Plan'!$L$6:$L$78,"Done"),2,1),""))</f>
        <v/>
      </c>
      <c r="R45" s="86" t="str">
        <f aca="false">IF($C45="","",IF(AND(R$5&gt;=$C45,R$5&lt;=$D45),IF(R$5&lt;$C45+COUNTIFS('FullStack Plan'!$F$6:$F$78,$B45,'FullStack Plan'!$B$6:$B$78,"Yes",'FullStack Plan'!$L$6:$L$78,"Done"),2,1),""))</f>
        <v/>
      </c>
      <c r="S45" s="86" t="str">
        <f aca="false">IF($C45="","",IF(AND(S$5&gt;=$C45,S$5&lt;=$D45),IF(S$5&lt;$C45+COUNTIFS('FullStack Plan'!$F$6:$F$78,$B45,'FullStack Plan'!$B$6:$B$78,"Yes",'FullStack Plan'!$L$6:$L$78,"Done"),2,1),""))</f>
        <v/>
      </c>
      <c r="T45" s="86" t="str">
        <f aca="false">IF($C45="","",IF(AND(T$5&gt;=$C45,T$5&lt;=$D45),IF(T$5&lt;$C45+COUNTIFS('FullStack Plan'!$F$6:$F$78,$B45,'FullStack Plan'!$B$6:$B$78,"Yes",'FullStack Plan'!$L$6:$L$78,"Done"),2,1),""))</f>
        <v/>
      </c>
      <c r="U45" s="86" t="str">
        <f aca="false">IF($C45="","",IF(AND(U$5&gt;=$C45,U$5&lt;=$D45),IF(U$5&lt;$C45+COUNTIFS('FullStack Plan'!$F$6:$F$78,$B45,'FullStack Plan'!$B$6:$B$78,"Yes",'FullStack Plan'!$L$6:$L$78,"Done"),2,1),""))</f>
        <v/>
      </c>
      <c r="V45" s="86" t="str">
        <f aca="false">IF($C45="","",IF(AND(V$5&gt;=$C45,V$5&lt;=$D45),IF(V$5&lt;$C45+COUNTIFS('FullStack Plan'!$F$6:$F$78,$B45,'FullStack Plan'!$B$6:$B$78,"Yes",'FullStack Plan'!$L$6:$L$78,"Done"),2,1),""))</f>
        <v/>
      </c>
      <c r="W45" s="86" t="str">
        <f aca="false">IF($C45="","",IF(AND(W$5&gt;=$C45,W$5&lt;=$D45),IF(W$5&lt;$C45+COUNTIFS('FullStack Plan'!$F$6:$F$78,$B45,'FullStack Plan'!$B$6:$B$78,"Yes",'FullStack Plan'!$L$6:$L$78,"Done"),2,1),""))</f>
        <v/>
      </c>
      <c r="X45" s="86" t="str">
        <f aca="false">IF($C45="","",IF(AND(X$5&gt;=$C45,X$5&lt;=$D45),IF(X$5&lt;$C45+COUNTIFS('FullStack Plan'!$F$6:$F$78,$B45,'FullStack Plan'!$B$6:$B$78,"Yes",'FullStack Plan'!$L$6:$L$78,"Done"),2,1),""))</f>
        <v/>
      </c>
      <c r="Y45" s="86" t="str">
        <f aca="false">IF($C45="","",IF(AND(Y$5&gt;=$C45,Y$5&lt;=$D45),IF(Y$5&lt;$C45+COUNTIFS('FullStack Plan'!$F$6:$F$78,$B45,'FullStack Plan'!$B$6:$B$78,"Yes",'FullStack Plan'!$L$6:$L$78,"Done"),2,1),""))</f>
        <v/>
      </c>
      <c r="Z45" s="86" t="str">
        <f aca="false">IF($C45="","",IF(AND(Z$5&gt;=$C45,Z$5&lt;=$D45),IF(Z$5&lt;$C45+COUNTIFS('FullStack Plan'!$F$6:$F$78,$B45,'FullStack Plan'!$B$6:$B$78,"Yes",'FullStack Plan'!$L$6:$L$78,"Done"),2,1),""))</f>
        <v/>
      </c>
      <c r="AA45" s="86" t="str">
        <f aca="false">IF($C45="","",IF(AND(AA$5&gt;=$C45,AA$5&lt;=$D45),IF(AA$5&lt;$C45+COUNTIFS('FullStack Plan'!$F$6:$F$78,$B45,'FullStack Plan'!$B$6:$B$78,"Yes",'FullStack Plan'!$L$6:$L$78,"Done"),2,1),""))</f>
        <v/>
      </c>
      <c r="AB45" s="86" t="str">
        <f aca="false">IF($C45="","",IF(AND(AB$5&gt;=$C45,AB$5&lt;=$D45),IF(AB$5&lt;$C45+COUNTIFS('FullStack Plan'!$F$6:$F$78,$B45,'FullStack Plan'!$B$6:$B$78,"Yes",'FullStack Plan'!$L$6:$L$78,"Done"),2,1),""))</f>
        <v/>
      </c>
      <c r="AC45" s="86" t="str">
        <f aca="false">IF($C45="","",IF(AND(AC$5&gt;=$C45,AC$5&lt;=$D45),IF(AC$5&lt;$C45+COUNTIFS('FullStack Plan'!$F$6:$F$78,$B45,'FullStack Plan'!$B$6:$B$78,"Yes",'FullStack Plan'!$L$6:$L$78,"Done"),2,1),""))</f>
        <v/>
      </c>
      <c r="AD45" s="86" t="str">
        <f aca="false">IF($C45="","",IF(AND(AD$5&gt;=$C45,AD$5&lt;=$D45),IF(AD$5&lt;$C45+COUNTIFS('FullStack Plan'!$F$6:$F$78,$B45,'FullStack Plan'!$B$6:$B$78,"Yes",'FullStack Plan'!$L$6:$L$78,"Done"),2,1),""))</f>
        <v/>
      </c>
      <c r="AE45" s="86" t="str">
        <f aca="false">IF($C45="","",IF(AND(AE$5&gt;=$C45,AE$5&lt;=$D45),IF(AE$5&lt;$C45+COUNTIFS('FullStack Plan'!$F$6:$F$78,$B45,'FullStack Plan'!$B$6:$B$78,"Yes",'FullStack Plan'!$L$6:$L$78,"Done"),2,1),""))</f>
        <v/>
      </c>
      <c r="AF45" s="86" t="str">
        <f aca="false">IF($C45="","",IF(AND(AF$5&gt;=$C45,AF$5&lt;=$D45),IF(AF$5&lt;$C45+COUNTIFS('FullStack Plan'!$F$6:$F$78,$B45,'FullStack Plan'!$B$6:$B$78,"Yes",'FullStack Plan'!$L$6:$L$78,"Done"),2,1),""))</f>
        <v/>
      </c>
      <c r="AG45" s="86" t="str">
        <f aca="false">IF($C45="","",IF(AND(AG$5&gt;=$C45,AG$5&lt;=$D45),IF(AG$5&lt;$C45+COUNTIFS('FullStack Plan'!$F$6:$F$78,$B45,'FullStack Plan'!$B$6:$B$78,"Yes",'FullStack Plan'!$L$6:$L$78,"Done"),2,1),""))</f>
        <v/>
      </c>
      <c r="AH45" s="86" t="str">
        <f aca="false">IF($C45="","",IF(AND(AH$5&gt;=$C45,AH$5&lt;=$D45),IF(AH$5&lt;$C45+COUNTIFS('FullStack Plan'!$F$6:$F$78,$B45,'FullStack Plan'!$B$6:$B$78,"Yes",'FullStack Plan'!$L$6:$L$78,"Done"),2,1),""))</f>
        <v/>
      </c>
      <c r="AI45" s="86" t="str">
        <f aca="false">IF($C45="","",IF(AND(AI$5&gt;=$C45,AI$5&lt;=$D45),IF(AI$5&lt;$C45+COUNTIFS('FullStack Plan'!$F$6:$F$78,$B45,'FullStack Plan'!$B$6:$B$78,"Yes",'FullStack Plan'!$L$6:$L$78,"Done"),2,1),""))</f>
        <v/>
      </c>
      <c r="AJ45" s="86" t="str">
        <f aca="false">IF($C45="","",IF(AND(AJ$5&gt;=$C45,AJ$5&lt;=$D45),IF(AJ$5&lt;$C45+COUNTIFS('FullStack Plan'!$F$6:$F$78,$B45,'FullStack Plan'!$B$6:$B$78,"Yes",'FullStack Plan'!$L$6:$L$78,"Done"),2,1),""))</f>
        <v/>
      </c>
      <c r="AK45" s="86" t="str">
        <f aca="false">IF($C45="","",IF(AND(AK$5&gt;=$C45,AK$5&lt;=$D45),IF(AK$5&lt;$C45+COUNTIFS('FullStack Plan'!$F$6:$F$78,$B45,'FullStack Plan'!$B$6:$B$78,"Yes",'FullStack Plan'!$L$6:$L$78,"Done"),2,1),""))</f>
        <v/>
      </c>
      <c r="AL45" s="86" t="str">
        <f aca="false">IF($C45="","",IF(AND(AL$5&gt;=$C45,AL$5&lt;=$D45),IF(AL$5&lt;$C45+COUNTIFS('FullStack Plan'!$F$6:$F$78,$B45,'FullStack Plan'!$B$6:$B$78,"Yes",'FullStack Plan'!$L$6:$L$78,"Done"),2,1),""))</f>
        <v/>
      </c>
      <c r="AM45" s="86" t="str">
        <f aca="false">IF($C45="","",IF(AND(AM$5&gt;=$C45,AM$5&lt;=$D45),IF(AM$5&lt;$C45+COUNTIFS('FullStack Plan'!$F$6:$F$78,$B45,'FullStack Plan'!$B$6:$B$78,"Yes",'FullStack Plan'!$L$6:$L$78,"Done"),2,1),""))</f>
        <v/>
      </c>
      <c r="AN45" s="86" t="str">
        <f aca="false">IF($C45="","",IF(AND(AN$5&gt;=$C45,AN$5&lt;=$D45),IF(AN$5&lt;$C45+COUNTIFS('FullStack Plan'!$F$6:$F$78,$B45,'FullStack Plan'!$B$6:$B$78,"Yes",'FullStack Plan'!$L$6:$L$78,"Done"),2,1),""))</f>
        <v/>
      </c>
      <c r="AO45" s="86" t="str">
        <f aca="false">IF($C45="","",IF(AND(AO$5&gt;=$C45,AO$5&lt;=$D45),IF(AO$5&lt;$C45+COUNTIFS('FullStack Plan'!$F$6:$F$78,$B45,'FullStack Plan'!$B$6:$B$78,"Yes",'FullStack Plan'!$L$6:$L$78,"Done"),2,1),""))</f>
        <v/>
      </c>
      <c r="AP45" s="86" t="str">
        <f aca="false">IF($C45="","",IF(AND(AP$5&gt;=$C45,AP$5&lt;=$D45),IF(AP$5&lt;$C45+COUNTIFS('FullStack Plan'!$F$6:$F$78,$B45,'FullStack Plan'!$B$6:$B$78,"Yes",'FullStack Plan'!$L$6:$L$78,"Done"),2,1),""))</f>
        <v/>
      </c>
      <c r="AQ45" s="86" t="str">
        <f aca="false">IF($C45="","",IF(AND(AQ$5&gt;=$C45,AQ$5&lt;=$D45),IF(AQ$5&lt;$C45+COUNTIFS('FullStack Plan'!$F$6:$F$78,$B45,'FullStack Plan'!$B$6:$B$78,"Yes",'FullStack Plan'!$L$6:$L$78,"Done"),2,1),""))</f>
        <v/>
      </c>
    </row>
    <row r="46" customFormat="false" ht="18" hidden="false" customHeight="true" outlineLevel="0" collapsed="false">
      <c r="A46" s="84" t="s">
        <v>20</v>
      </c>
      <c r="B46" s="94" t="s">
        <v>131</v>
      </c>
      <c r="C46" s="84" t="str">
        <f aca="false">IF(COUNTIFS('FullStack Plan'!$F$6:$F$78,$B46,'FullStack Plan'!$B$6:$B$78,"Yes")=0,"",_xlfn.MINIFS('FullStack Plan'!$A$6:$A$78,'FullStack Plan'!$F$6:$F$78,$B46,'FullStack Plan'!$B$6:$B$78,"Yes"))</f>
        <v/>
      </c>
      <c r="D46" s="84" t="str">
        <f aca="false">IF(COUNTIFS('FullStack Plan'!$F$6:$F$78,$B46,'FullStack Plan'!$B$6:$B$78,"Yes")=0,"",_xlfn.MAXIFS('FullStack Plan'!$A$6:$A$78,'FullStack Plan'!$F$6:$F$78,$B46,'FullStack Plan'!$B$6:$B$78,"Yes"))</f>
        <v/>
      </c>
      <c r="E46" s="86" t="str">
        <f aca="false">IF($C46="","",IF(AND(E$5&gt;=$C46,E$5&lt;=$D46),IF(E$5&lt;$C46+COUNTIFS('FullStack Plan'!$F$6:$F$78,$B46,'FullStack Plan'!$B$6:$B$78,"Yes",'FullStack Plan'!$L$6:$L$78,"Done"),2,1),""))</f>
        <v/>
      </c>
      <c r="F46" s="86" t="str">
        <f aca="false">IF($C46="","",IF(AND(F$5&gt;=$C46,F$5&lt;=$D46),IF(F$5&lt;$C46+COUNTIFS('FullStack Plan'!$F$6:$F$78,$B46,'FullStack Plan'!$B$6:$B$78,"Yes",'FullStack Plan'!$L$6:$L$78,"Done"),2,1),""))</f>
        <v/>
      </c>
      <c r="G46" s="86" t="str">
        <f aca="false">IF($C46="","",IF(AND(G$5&gt;=$C46,G$5&lt;=$D46),IF(G$5&lt;$C46+COUNTIFS('FullStack Plan'!$F$6:$F$78,$B46,'FullStack Plan'!$B$6:$B$78,"Yes",'FullStack Plan'!$L$6:$L$78,"Done"),2,1),""))</f>
        <v/>
      </c>
      <c r="H46" s="86" t="str">
        <f aca="false">IF($C46="","",IF(AND(H$5&gt;=$C46,H$5&lt;=$D46),IF(H$5&lt;$C46+COUNTIFS('FullStack Plan'!$F$6:$F$78,$B46,'FullStack Plan'!$B$6:$B$78,"Yes",'FullStack Plan'!$L$6:$L$78,"Done"),2,1),""))</f>
        <v/>
      </c>
      <c r="I46" s="86" t="str">
        <f aca="false">IF($C46="","",IF(AND(I$5&gt;=$C46,I$5&lt;=$D46),IF(I$5&lt;$C46+COUNTIFS('FullStack Plan'!$F$6:$F$78,$B46,'FullStack Plan'!$B$6:$B$78,"Yes",'FullStack Plan'!$L$6:$L$78,"Done"),2,1),""))</f>
        <v/>
      </c>
      <c r="J46" s="86" t="str">
        <f aca="false">IF($C46="","",IF(AND(J$5&gt;=$C46,J$5&lt;=$D46),IF(J$5&lt;$C46+COUNTIFS('FullStack Plan'!$F$6:$F$78,$B46,'FullStack Plan'!$B$6:$B$78,"Yes",'FullStack Plan'!$L$6:$L$78,"Done"),2,1),""))</f>
        <v/>
      </c>
      <c r="K46" s="86" t="str">
        <f aca="false">IF($C46="","",IF(AND(K$5&gt;=$C46,K$5&lt;=$D46),IF(K$5&lt;$C46+COUNTIFS('FullStack Plan'!$F$6:$F$78,$B46,'FullStack Plan'!$B$6:$B$78,"Yes",'FullStack Plan'!$L$6:$L$78,"Done"),2,1),""))</f>
        <v/>
      </c>
      <c r="L46" s="86" t="str">
        <f aca="false">IF($C46="","",IF(AND(L$5&gt;=$C46,L$5&lt;=$D46),IF(L$5&lt;$C46+COUNTIFS('FullStack Plan'!$F$6:$F$78,$B46,'FullStack Plan'!$B$6:$B$78,"Yes",'FullStack Plan'!$L$6:$L$78,"Done"),2,1),""))</f>
        <v/>
      </c>
      <c r="M46" s="86" t="str">
        <f aca="false">IF($C46="","",IF(AND(M$5&gt;=$C46,M$5&lt;=$D46),IF(M$5&lt;$C46+COUNTIFS('FullStack Plan'!$F$6:$F$78,$B46,'FullStack Plan'!$B$6:$B$78,"Yes",'FullStack Plan'!$L$6:$L$78,"Done"),2,1),""))</f>
        <v/>
      </c>
      <c r="N46" s="86" t="str">
        <f aca="false">IF($C46="","",IF(AND(N$5&gt;=$C46,N$5&lt;=$D46),IF(N$5&lt;$C46+COUNTIFS('FullStack Plan'!$F$6:$F$78,$B46,'FullStack Plan'!$B$6:$B$78,"Yes",'FullStack Plan'!$L$6:$L$78,"Done"),2,1),""))</f>
        <v/>
      </c>
      <c r="O46" s="86" t="str">
        <f aca="false">IF($C46="","",IF(AND(O$5&gt;=$C46,O$5&lt;=$D46),IF(O$5&lt;$C46+COUNTIFS('FullStack Plan'!$F$6:$F$78,$B46,'FullStack Plan'!$B$6:$B$78,"Yes",'FullStack Plan'!$L$6:$L$78,"Done"),2,1),""))</f>
        <v/>
      </c>
      <c r="P46" s="86" t="str">
        <f aca="false">IF($C46="","",IF(AND(P$5&gt;=$C46,P$5&lt;=$D46),IF(P$5&lt;$C46+COUNTIFS('FullStack Plan'!$F$6:$F$78,$B46,'FullStack Plan'!$B$6:$B$78,"Yes",'FullStack Plan'!$L$6:$L$78,"Done"),2,1),""))</f>
        <v/>
      </c>
      <c r="Q46" s="86" t="str">
        <f aca="false">IF($C46="","",IF(AND(Q$5&gt;=$C46,Q$5&lt;=$D46),IF(Q$5&lt;$C46+COUNTIFS('FullStack Plan'!$F$6:$F$78,$B46,'FullStack Plan'!$B$6:$B$78,"Yes",'FullStack Plan'!$L$6:$L$78,"Done"),2,1),""))</f>
        <v/>
      </c>
      <c r="R46" s="86" t="str">
        <f aca="false">IF($C46="","",IF(AND(R$5&gt;=$C46,R$5&lt;=$D46),IF(R$5&lt;$C46+COUNTIFS('FullStack Plan'!$F$6:$F$78,$B46,'FullStack Plan'!$B$6:$B$78,"Yes",'FullStack Plan'!$L$6:$L$78,"Done"),2,1),""))</f>
        <v/>
      </c>
      <c r="S46" s="86" t="str">
        <f aca="false">IF($C46="","",IF(AND(S$5&gt;=$C46,S$5&lt;=$D46),IF(S$5&lt;$C46+COUNTIFS('FullStack Plan'!$F$6:$F$78,$B46,'FullStack Plan'!$B$6:$B$78,"Yes",'FullStack Plan'!$L$6:$L$78,"Done"),2,1),""))</f>
        <v/>
      </c>
      <c r="T46" s="86" t="str">
        <f aca="false">IF($C46="","",IF(AND(T$5&gt;=$C46,T$5&lt;=$D46),IF(T$5&lt;$C46+COUNTIFS('FullStack Plan'!$F$6:$F$78,$B46,'FullStack Plan'!$B$6:$B$78,"Yes",'FullStack Plan'!$L$6:$L$78,"Done"),2,1),""))</f>
        <v/>
      </c>
      <c r="U46" s="86" t="str">
        <f aca="false">IF($C46="","",IF(AND(U$5&gt;=$C46,U$5&lt;=$D46),IF(U$5&lt;$C46+COUNTIFS('FullStack Plan'!$F$6:$F$78,$B46,'FullStack Plan'!$B$6:$B$78,"Yes",'FullStack Plan'!$L$6:$L$78,"Done"),2,1),""))</f>
        <v/>
      </c>
      <c r="V46" s="86" t="str">
        <f aca="false">IF($C46="","",IF(AND(V$5&gt;=$C46,V$5&lt;=$D46),IF(V$5&lt;$C46+COUNTIFS('FullStack Plan'!$F$6:$F$78,$B46,'FullStack Plan'!$B$6:$B$78,"Yes",'FullStack Plan'!$L$6:$L$78,"Done"),2,1),""))</f>
        <v/>
      </c>
      <c r="W46" s="86" t="str">
        <f aca="false">IF($C46="","",IF(AND(W$5&gt;=$C46,W$5&lt;=$D46),IF(W$5&lt;$C46+COUNTIFS('FullStack Plan'!$F$6:$F$78,$B46,'FullStack Plan'!$B$6:$B$78,"Yes",'FullStack Plan'!$L$6:$L$78,"Done"),2,1),""))</f>
        <v/>
      </c>
      <c r="X46" s="86" t="str">
        <f aca="false">IF($C46="","",IF(AND(X$5&gt;=$C46,X$5&lt;=$D46),IF(X$5&lt;$C46+COUNTIFS('FullStack Plan'!$F$6:$F$78,$B46,'FullStack Plan'!$B$6:$B$78,"Yes",'FullStack Plan'!$L$6:$L$78,"Done"),2,1),""))</f>
        <v/>
      </c>
      <c r="Y46" s="86" t="str">
        <f aca="false">IF($C46="","",IF(AND(Y$5&gt;=$C46,Y$5&lt;=$D46),IF(Y$5&lt;$C46+COUNTIFS('FullStack Plan'!$F$6:$F$78,$B46,'FullStack Plan'!$B$6:$B$78,"Yes",'FullStack Plan'!$L$6:$L$78,"Done"),2,1),""))</f>
        <v/>
      </c>
      <c r="Z46" s="86" t="str">
        <f aca="false">IF($C46="","",IF(AND(Z$5&gt;=$C46,Z$5&lt;=$D46),IF(Z$5&lt;$C46+COUNTIFS('FullStack Plan'!$F$6:$F$78,$B46,'FullStack Plan'!$B$6:$B$78,"Yes",'FullStack Plan'!$L$6:$L$78,"Done"),2,1),""))</f>
        <v/>
      </c>
      <c r="AA46" s="86" t="str">
        <f aca="false">IF($C46="","",IF(AND(AA$5&gt;=$C46,AA$5&lt;=$D46),IF(AA$5&lt;$C46+COUNTIFS('FullStack Plan'!$F$6:$F$78,$B46,'FullStack Plan'!$B$6:$B$78,"Yes",'FullStack Plan'!$L$6:$L$78,"Done"),2,1),""))</f>
        <v/>
      </c>
      <c r="AB46" s="86" t="str">
        <f aca="false">IF($C46="","",IF(AND(AB$5&gt;=$C46,AB$5&lt;=$D46),IF(AB$5&lt;$C46+COUNTIFS('FullStack Plan'!$F$6:$F$78,$B46,'FullStack Plan'!$B$6:$B$78,"Yes",'FullStack Plan'!$L$6:$L$78,"Done"),2,1),""))</f>
        <v/>
      </c>
      <c r="AC46" s="86" t="str">
        <f aca="false">IF($C46="","",IF(AND(AC$5&gt;=$C46,AC$5&lt;=$D46),IF(AC$5&lt;$C46+COUNTIFS('FullStack Plan'!$F$6:$F$78,$B46,'FullStack Plan'!$B$6:$B$78,"Yes",'FullStack Plan'!$L$6:$L$78,"Done"),2,1),""))</f>
        <v/>
      </c>
      <c r="AD46" s="86" t="str">
        <f aca="false">IF($C46="","",IF(AND(AD$5&gt;=$C46,AD$5&lt;=$D46),IF(AD$5&lt;$C46+COUNTIFS('FullStack Plan'!$F$6:$F$78,$B46,'FullStack Plan'!$B$6:$B$78,"Yes",'FullStack Plan'!$L$6:$L$78,"Done"),2,1),""))</f>
        <v/>
      </c>
      <c r="AE46" s="86" t="str">
        <f aca="false">IF($C46="","",IF(AND(AE$5&gt;=$C46,AE$5&lt;=$D46),IF(AE$5&lt;$C46+COUNTIFS('FullStack Plan'!$F$6:$F$78,$B46,'FullStack Plan'!$B$6:$B$78,"Yes",'FullStack Plan'!$L$6:$L$78,"Done"),2,1),""))</f>
        <v/>
      </c>
      <c r="AF46" s="86" t="str">
        <f aca="false">IF($C46="","",IF(AND(AF$5&gt;=$C46,AF$5&lt;=$D46),IF(AF$5&lt;$C46+COUNTIFS('FullStack Plan'!$F$6:$F$78,$B46,'FullStack Plan'!$B$6:$B$78,"Yes",'FullStack Plan'!$L$6:$L$78,"Done"),2,1),""))</f>
        <v/>
      </c>
      <c r="AG46" s="86" t="str">
        <f aca="false">IF($C46="","",IF(AND(AG$5&gt;=$C46,AG$5&lt;=$D46),IF(AG$5&lt;$C46+COUNTIFS('FullStack Plan'!$F$6:$F$78,$B46,'FullStack Plan'!$B$6:$B$78,"Yes",'FullStack Plan'!$L$6:$L$78,"Done"),2,1),""))</f>
        <v/>
      </c>
      <c r="AH46" s="86" t="str">
        <f aca="false">IF($C46="","",IF(AND(AH$5&gt;=$C46,AH$5&lt;=$D46),IF(AH$5&lt;$C46+COUNTIFS('FullStack Plan'!$F$6:$F$78,$B46,'FullStack Plan'!$B$6:$B$78,"Yes",'FullStack Plan'!$L$6:$L$78,"Done"),2,1),""))</f>
        <v/>
      </c>
      <c r="AI46" s="86" t="str">
        <f aca="false">IF($C46="","",IF(AND(AI$5&gt;=$C46,AI$5&lt;=$D46),IF(AI$5&lt;$C46+COUNTIFS('FullStack Plan'!$F$6:$F$78,$B46,'FullStack Plan'!$B$6:$B$78,"Yes",'FullStack Plan'!$L$6:$L$78,"Done"),2,1),""))</f>
        <v/>
      </c>
      <c r="AJ46" s="86" t="str">
        <f aca="false">IF($C46="","",IF(AND(AJ$5&gt;=$C46,AJ$5&lt;=$D46),IF(AJ$5&lt;$C46+COUNTIFS('FullStack Plan'!$F$6:$F$78,$B46,'FullStack Plan'!$B$6:$B$78,"Yes",'FullStack Plan'!$L$6:$L$78,"Done"),2,1),""))</f>
        <v/>
      </c>
      <c r="AK46" s="86" t="str">
        <f aca="false">IF($C46="","",IF(AND(AK$5&gt;=$C46,AK$5&lt;=$D46),IF(AK$5&lt;$C46+COUNTIFS('FullStack Plan'!$F$6:$F$78,$B46,'FullStack Plan'!$B$6:$B$78,"Yes",'FullStack Plan'!$L$6:$L$78,"Done"),2,1),""))</f>
        <v/>
      </c>
      <c r="AL46" s="86" t="str">
        <f aca="false">IF($C46="","",IF(AND(AL$5&gt;=$C46,AL$5&lt;=$D46),IF(AL$5&lt;$C46+COUNTIFS('FullStack Plan'!$F$6:$F$78,$B46,'FullStack Plan'!$B$6:$B$78,"Yes",'FullStack Plan'!$L$6:$L$78,"Done"),2,1),""))</f>
        <v/>
      </c>
      <c r="AM46" s="86" t="str">
        <f aca="false">IF($C46="","",IF(AND(AM$5&gt;=$C46,AM$5&lt;=$D46),IF(AM$5&lt;$C46+COUNTIFS('FullStack Plan'!$F$6:$F$78,$B46,'FullStack Plan'!$B$6:$B$78,"Yes",'FullStack Plan'!$L$6:$L$78,"Done"),2,1),""))</f>
        <v/>
      </c>
      <c r="AN46" s="86" t="str">
        <f aca="false">IF($C46="","",IF(AND(AN$5&gt;=$C46,AN$5&lt;=$D46),IF(AN$5&lt;$C46+COUNTIFS('FullStack Plan'!$F$6:$F$78,$B46,'FullStack Plan'!$B$6:$B$78,"Yes",'FullStack Plan'!$L$6:$L$78,"Done"),2,1),""))</f>
        <v/>
      </c>
      <c r="AO46" s="86" t="str">
        <f aca="false">IF($C46="","",IF(AND(AO$5&gt;=$C46,AO$5&lt;=$D46),IF(AO$5&lt;$C46+COUNTIFS('FullStack Plan'!$F$6:$F$78,$B46,'FullStack Plan'!$B$6:$B$78,"Yes",'FullStack Plan'!$L$6:$L$78,"Done"),2,1),""))</f>
        <v/>
      </c>
      <c r="AP46" s="86" t="str">
        <f aca="false">IF($C46="","",IF(AND(AP$5&gt;=$C46,AP$5&lt;=$D46),IF(AP$5&lt;$C46+COUNTIFS('FullStack Plan'!$F$6:$F$78,$B46,'FullStack Plan'!$B$6:$B$78,"Yes",'FullStack Plan'!$L$6:$L$78,"Done"),2,1),""))</f>
        <v/>
      </c>
      <c r="AQ46" s="86" t="str">
        <f aca="false">IF($C46="","",IF(AND(AQ$5&gt;=$C46,AQ$5&lt;=$D46),IF(AQ$5&lt;$C46+COUNTIFS('FullStack Plan'!$F$6:$F$78,$B46,'FullStack Plan'!$B$6:$B$78,"Yes",'FullStack Plan'!$L$6:$L$78,"Done"),2,1),""))</f>
        <v/>
      </c>
    </row>
    <row r="47" customFormat="false" ht="18" hidden="false" customHeight="true" outlineLevel="0" collapsed="false">
      <c r="A47" s="84" t="s">
        <v>20</v>
      </c>
      <c r="B47" s="94" t="s">
        <v>132</v>
      </c>
      <c r="C47" s="84" t="str">
        <f aca="false">IF(COUNTIFS('FullStack Plan'!$F$6:$F$78,$B47,'FullStack Plan'!$B$6:$B$78,"Yes")=0,"",_xlfn.MINIFS('FullStack Plan'!$A$6:$A$78,'FullStack Plan'!$F$6:$F$78,$B47,'FullStack Plan'!$B$6:$B$78,"Yes"))</f>
        <v/>
      </c>
      <c r="D47" s="84" t="str">
        <f aca="false">IF(COUNTIFS('FullStack Plan'!$F$6:$F$78,$B47,'FullStack Plan'!$B$6:$B$78,"Yes")=0,"",_xlfn.MAXIFS('FullStack Plan'!$A$6:$A$78,'FullStack Plan'!$F$6:$F$78,$B47,'FullStack Plan'!$B$6:$B$78,"Yes"))</f>
        <v/>
      </c>
      <c r="E47" s="86" t="str">
        <f aca="false">IF($C47="","",IF(AND(E$5&gt;=$C47,E$5&lt;=$D47),IF(E$5&lt;$C47+COUNTIFS('FullStack Plan'!$F$6:$F$78,$B47,'FullStack Plan'!$B$6:$B$78,"Yes",'FullStack Plan'!$L$6:$L$78,"Done"),2,1),""))</f>
        <v/>
      </c>
      <c r="F47" s="86" t="str">
        <f aca="false">IF($C47="","",IF(AND(F$5&gt;=$C47,F$5&lt;=$D47),IF(F$5&lt;$C47+COUNTIFS('FullStack Plan'!$F$6:$F$78,$B47,'FullStack Plan'!$B$6:$B$78,"Yes",'FullStack Plan'!$L$6:$L$78,"Done"),2,1),""))</f>
        <v/>
      </c>
      <c r="G47" s="86" t="str">
        <f aca="false">IF($C47="","",IF(AND(G$5&gt;=$C47,G$5&lt;=$D47),IF(G$5&lt;$C47+COUNTIFS('FullStack Plan'!$F$6:$F$78,$B47,'FullStack Plan'!$B$6:$B$78,"Yes",'FullStack Plan'!$L$6:$L$78,"Done"),2,1),""))</f>
        <v/>
      </c>
      <c r="H47" s="86" t="str">
        <f aca="false">IF($C47="","",IF(AND(H$5&gt;=$C47,H$5&lt;=$D47),IF(H$5&lt;$C47+COUNTIFS('FullStack Plan'!$F$6:$F$78,$B47,'FullStack Plan'!$B$6:$B$78,"Yes",'FullStack Plan'!$L$6:$L$78,"Done"),2,1),""))</f>
        <v/>
      </c>
      <c r="I47" s="86" t="str">
        <f aca="false">IF($C47="","",IF(AND(I$5&gt;=$C47,I$5&lt;=$D47),IF(I$5&lt;$C47+COUNTIFS('FullStack Plan'!$F$6:$F$78,$B47,'FullStack Plan'!$B$6:$B$78,"Yes",'FullStack Plan'!$L$6:$L$78,"Done"),2,1),""))</f>
        <v/>
      </c>
      <c r="J47" s="86" t="str">
        <f aca="false">IF($C47="","",IF(AND(J$5&gt;=$C47,J$5&lt;=$D47),IF(J$5&lt;$C47+COUNTIFS('FullStack Plan'!$F$6:$F$78,$B47,'FullStack Plan'!$B$6:$B$78,"Yes",'FullStack Plan'!$L$6:$L$78,"Done"),2,1),""))</f>
        <v/>
      </c>
      <c r="K47" s="86" t="str">
        <f aca="false">IF($C47="","",IF(AND(K$5&gt;=$C47,K$5&lt;=$D47),IF(K$5&lt;$C47+COUNTIFS('FullStack Plan'!$F$6:$F$78,$B47,'FullStack Plan'!$B$6:$B$78,"Yes",'FullStack Plan'!$L$6:$L$78,"Done"),2,1),""))</f>
        <v/>
      </c>
      <c r="L47" s="86" t="str">
        <f aca="false">IF($C47="","",IF(AND(L$5&gt;=$C47,L$5&lt;=$D47),IF(L$5&lt;$C47+COUNTIFS('FullStack Plan'!$F$6:$F$78,$B47,'FullStack Plan'!$B$6:$B$78,"Yes",'FullStack Plan'!$L$6:$L$78,"Done"),2,1),""))</f>
        <v/>
      </c>
      <c r="M47" s="86" t="str">
        <f aca="false">IF($C47="","",IF(AND(M$5&gt;=$C47,M$5&lt;=$D47),IF(M$5&lt;$C47+COUNTIFS('FullStack Plan'!$F$6:$F$78,$B47,'FullStack Plan'!$B$6:$B$78,"Yes",'FullStack Plan'!$L$6:$L$78,"Done"),2,1),""))</f>
        <v/>
      </c>
      <c r="N47" s="86" t="str">
        <f aca="false">IF($C47="","",IF(AND(N$5&gt;=$C47,N$5&lt;=$D47),IF(N$5&lt;$C47+COUNTIFS('FullStack Plan'!$F$6:$F$78,$B47,'FullStack Plan'!$B$6:$B$78,"Yes",'FullStack Plan'!$L$6:$L$78,"Done"),2,1),""))</f>
        <v/>
      </c>
      <c r="O47" s="86" t="str">
        <f aca="false">IF($C47="","",IF(AND(O$5&gt;=$C47,O$5&lt;=$D47),IF(O$5&lt;$C47+COUNTIFS('FullStack Plan'!$F$6:$F$78,$B47,'FullStack Plan'!$B$6:$B$78,"Yes",'FullStack Plan'!$L$6:$L$78,"Done"),2,1),""))</f>
        <v/>
      </c>
      <c r="P47" s="86" t="str">
        <f aca="false">IF($C47="","",IF(AND(P$5&gt;=$C47,P$5&lt;=$D47),IF(P$5&lt;$C47+COUNTIFS('FullStack Plan'!$F$6:$F$78,$B47,'FullStack Plan'!$B$6:$B$78,"Yes",'FullStack Plan'!$L$6:$L$78,"Done"),2,1),""))</f>
        <v/>
      </c>
      <c r="Q47" s="86" t="str">
        <f aca="false">IF($C47="","",IF(AND(Q$5&gt;=$C47,Q$5&lt;=$D47),IF(Q$5&lt;$C47+COUNTIFS('FullStack Plan'!$F$6:$F$78,$B47,'FullStack Plan'!$B$6:$B$78,"Yes",'FullStack Plan'!$L$6:$L$78,"Done"),2,1),""))</f>
        <v/>
      </c>
      <c r="R47" s="86" t="str">
        <f aca="false">IF($C47="","",IF(AND(R$5&gt;=$C47,R$5&lt;=$D47),IF(R$5&lt;$C47+COUNTIFS('FullStack Plan'!$F$6:$F$78,$B47,'FullStack Plan'!$B$6:$B$78,"Yes",'FullStack Plan'!$L$6:$L$78,"Done"),2,1),""))</f>
        <v/>
      </c>
      <c r="S47" s="86" t="str">
        <f aca="false">IF($C47="","",IF(AND(S$5&gt;=$C47,S$5&lt;=$D47),IF(S$5&lt;$C47+COUNTIFS('FullStack Plan'!$F$6:$F$78,$B47,'FullStack Plan'!$B$6:$B$78,"Yes",'FullStack Plan'!$L$6:$L$78,"Done"),2,1),""))</f>
        <v/>
      </c>
      <c r="T47" s="86" t="str">
        <f aca="false">IF($C47="","",IF(AND(T$5&gt;=$C47,T$5&lt;=$D47),IF(T$5&lt;$C47+COUNTIFS('FullStack Plan'!$F$6:$F$78,$B47,'FullStack Plan'!$B$6:$B$78,"Yes",'FullStack Plan'!$L$6:$L$78,"Done"),2,1),""))</f>
        <v/>
      </c>
      <c r="U47" s="86" t="str">
        <f aca="false">IF($C47="","",IF(AND(U$5&gt;=$C47,U$5&lt;=$D47),IF(U$5&lt;$C47+COUNTIFS('FullStack Plan'!$F$6:$F$78,$B47,'FullStack Plan'!$B$6:$B$78,"Yes",'FullStack Plan'!$L$6:$L$78,"Done"),2,1),""))</f>
        <v/>
      </c>
      <c r="V47" s="86" t="str">
        <f aca="false">IF($C47="","",IF(AND(V$5&gt;=$C47,V$5&lt;=$D47),IF(V$5&lt;$C47+COUNTIFS('FullStack Plan'!$F$6:$F$78,$B47,'FullStack Plan'!$B$6:$B$78,"Yes",'FullStack Plan'!$L$6:$L$78,"Done"),2,1),""))</f>
        <v/>
      </c>
      <c r="W47" s="86" t="str">
        <f aca="false">IF($C47="","",IF(AND(W$5&gt;=$C47,W$5&lt;=$D47),IF(W$5&lt;$C47+COUNTIFS('FullStack Plan'!$F$6:$F$78,$B47,'FullStack Plan'!$B$6:$B$78,"Yes",'FullStack Plan'!$L$6:$L$78,"Done"),2,1),""))</f>
        <v/>
      </c>
      <c r="X47" s="86" t="str">
        <f aca="false">IF($C47="","",IF(AND(X$5&gt;=$C47,X$5&lt;=$D47),IF(X$5&lt;$C47+COUNTIFS('FullStack Plan'!$F$6:$F$78,$B47,'FullStack Plan'!$B$6:$B$78,"Yes",'FullStack Plan'!$L$6:$L$78,"Done"),2,1),""))</f>
        <v/>
      </c>
      <c r="Y47" s="86" t="str">
        <f aca="false">IF($C47="","",IF(AND(Y$5&gt;=$C47,Y$5&lt;=$D47),IF(Y$5&lt;$C47+COUNTIFS('FullStack Plan'!$F$6:$F$78,$B47,'FullStack Plan'!$B$6:$B$78,"Yes",'FullStack Plan'!$L$6:$L$78,"Done"),2,1),""))</f>
        <v/>
      </c>
      <c r="Z47" s="86" t="str">
        <f aca="false">IF($C47="","",IF(AND(Z$5&gt;=$C47,Z$5&lt;=$D47),IF(Z$5&lt;$C47+COUNTIFS('FullStack Plan'!$F$6:$F$78,$B47,'FullStack Plan'!$B$6:$B$78,"Yes",'FullStack Plan'!$L$6:$L$78,"Done"),2,1),""))</f>
        <v/>
      </c>
      <c r="AA47" s="86" t="str">
        <f aca="false">IF($C47="","",IF(AND(AA$5&gt;=$C47,AA$5&lt;=$D47),IF(AA$5&lt;$C47+COUNTIFS('FullStack Plan'!$F$6:$F$78,$B47,'FullStack Plan'!$B$6:$B$78,"Yes",'FullStack Plan'!$L$6:$L$78,"Done"),2,1),""))</f>
        <v/>
      </c>
      <c r="AB47" s="86" t="str">
        <f aca="false">IF($C47="","",IF(AND(AB$5&gt;=$C47,AB$5&lt;=$D47),IF(AB$5&lt;$C47+COUNTIFS('FullStack Plan'!$F$6:$F$78,$B47,'FullStack Plan'!$B$6:$B$78,"Yes",'FullStack Plan'!$L$6:$L$78,"Done"),2,1),""))</f>
        <v/>
      </c>
      <c r="AC47" s="86" t="str">
        <f aca="false">IF($C47="","",IF(AND(AC$5&gt;=$C47,AC$5&lt;=$D47),IF(AC$5&lt;$C47+COUNTIFS('FullStack Plan'!$F$6:$F$78,$B47,'FullStack Plan'!$B$6:$B$78,"Yes",'FullStack Plan'!$L$6:$L$78,"Done"),2,1),""))</f>
        <v/>
      </c>
      <c r="AD47" s="86" t="str">
        <f aca="false">IF($C47="","",IF(AND(AD$5&gt;=$C47,AD$5&lt;=$D47),IF(AD$5&lt;$C47+COUNTIFS('FullStack Plan'!$F$6:$F$78,$B47,'FullStack Plan'!$B$6:$B$78,"Yes",'FullStack Plan'!$L$6:$L$78,"Done"),2,1),""))</f>
        <v/>
      </c>
      <c r="AE47" s="86" t="str">
        <f aca="false">IF($C47="","",IF(AND(AE$5&gt;=$C47,AE$5&lt;=$D47),IF(AE$5&lt;$C47+COUNTIFS('FullStack Plan'!$F$6:$F$78,$B47,'FullStack Plan'!$B$6:$B$78,"Yes",'FullStack Plan'!$L$6:$L$78,"Done"),2,1),""))</f>
        <v/>
      </c>
      <c r="AF47" s="86" t="str">
        <f aca="false">IF($C47="","",IF(AND(AF$5&gt;=$C47,AF$5&lt;=$D47),IF(AF$5&lt;$C47+COUNTIFS('FullStack Plan'!$F$6:$F$78,$B47,'FullStack Plan'!$B$6:$B$78,"Yes",'FullStack Plan'!$L$6:$L$78,"Done"),2,1),""))</f>
        <v/>
      </c>
      <c r="AG47" s="86" t="str">
        <f aca="false">IF($C47="","",IF(AND(AG$5&gt;=$C47,AG$5&lt;=$D47),IF(AG$5&lt;$C47+COUNTIFS('FullStack Plan'!$F$6:$F$78,$B47,'FullStack Plan'!$B$6:$B$78,"Yes",'FullStack Plan'!$L$6:$L$78,"Done"),2,1),""))</f>
        <v/>
      </c>
      <c r="AH47" s="86" t="str">
        <f aca="false">IF($C47="","",IF(AND(AH$5&gt;=$C47,AH$5&lt;=$D47),IF(AH$5&lt;$C47+COUNTIFS('FullStack Plan'!$F$6:$F$78,$B47,'FullStack Plan'!$B$6:$B$78,"Yes",'FullStack Plan'!$L$6:$L$78,"Done"),2,1),""))</f>
        <v/>
      </c>
      <c r="AI47" s="86" t="str">
        <f aca="false">IF($C47="","",IF(AND(AI$5&gt;=$C47,AI$5&lt;=$D47),IF(AI$5&lt;$C47+COUNTIFS('FullStack Plan'!$F$6:$F$78,$B47,'FullStack Plan'!$B$6:$B$78,"Yes",'FullStack Plan'!$L$6:$L$78,"Done"),2,1),""))</f>
        <v/>
      </c>
      <c r="AJ47" s="86" t="str">
        <f aca="false">IF($C47="","",IF(AND(AJ$5&gt;=$C47,AJ$5&lt;=$D47),IF(AJ$5&lt;$C47+COUNTIFS('FullStack Plan'!$F$6:$F$78,$B47,'FullStack Plan'!$B$6:$B$78,"Yes",'FullStack Plan'!$L$6:$L$78,"Done"),2,1),""))</f>
        <v/>
      </c>
      <c r="AK47" s="86" t="str">
        <f aca="false">IF($C47="","",IF(AND(AK$5&gt;=$C47,AK$5&lt;=$D47),IF(AK$5&lt;$C47+COUNTIFS('FullStack Plan'!$F$6:$F$78,$B47,'FullStack Plan'!$B$6:$B$78,"Yes",'FullStack Plan'!$L$6:$L$78,"Done"),2,1),""))</f>
        <v/>
      </c>
      <c r="AL47" s="86" t="str">
        <f aca="false">IF($C47="","",IF(AND(AL$5&gt;=$C47,AL$5&lt;=$D47),IF(AL$5&lt;$C47+COUNTIFS('FullStack Plan'!$F$6:$F$78,$B47,'FullStack Plan'!$B$6:$B$78,"Yes",'FullStack Plan'!$L$6:$L$78,"Done"),2,1),""))</f>
        <v/>
      </c>
      <c r="AM47" s="86" t="str">
        <f aca="false">IF($C47="","",IF(AND(AM$5&gt;=$C47,AM$5&lt;=$D47),IF(AM$5&lt;$C47+COUNTIFS('FullStack Plan'!$F$6:$F$78,$B47,'FullStack Plan'!$B$6:$B$78,"Yes",'FullStack Plan'!$L$6:$L$78,"Done"),2,1),""))</f>
        <v/>
      </c>
      <c r="AN47" s="86" t="str">
        <f aca="false">IF($C47="","",IF(AND(AN$5&gt;=$C47,AN$5&lt;=$D47),IF(AN$5&lt;$C47+COUNTIFS('FullStack Plan'!$F$6:$F$78,$B47,'FullStack Plan'!$B$6:$B$78,"Yes",'FullStack Plan'!$L$6:$L$78,"Done"),2,1),""))</f>
        <v/>
      </c>
      <c r="AO47" s="86" t="str">
        <f aca="false">IF($C47="","",IF(AND(AO$5&gt;=$C47,AO$5&lt;=$D47),IF(AO$5&lt;$C47+COUNTIFS('FullStack Plan'!$F$6:$F$78,$B47,'FullStack Plan'!$B$6:$B$78,"Yes",'FullStack Plan'!$L$6:$L$78,"Done"),2,1),""))</f>
        <v/>
      </c>
      <c r="AP47" s="86" t="str">
        <f aca="false">IF($C47="","",IF(AND(AP$5&gt;=$C47,AP$5&lt;=$D47),IF(AP$5&lt;$C47+COUNTIFS('FullStack Plan'!$F$6:$F$78,$B47,'FullStack Plan'!$B$6:$B$78,"Yes",'FullStack Plan'!$L$6:$L$78,"Done"),2,1),""))</f>
        <v/>
      </c>
      <c r="AQ47" s="86" t="str">
        <f aca="false">IF($C47="","",IF(AND(AQ$5&gt;=$C47,AQ$5&lt;=$D47),IF(AQ$5&lt;$C47+COUNTIFS('FullStack Plan'!$F$6:$F$78,$B47,'FullStack Plan'!$B$6:$B$78,"Yes",'FullStack Plan'!$L$6:$L$78,"Done"),2,1),""))</f>
        <v/>
      </c>
    </row>
  </sheetData>
  <mergeCells count="13">
    <mergeCell ref="A1:AQ1"/>
    <mergeCell ref="A2:AQ2"/>
    <mergeCell ref="E4:H4"/>
    <mergeCell ref="I4:M4"/>
    <mergeCell ref="N4:Q4"/>
    <mergeCell ref="R4:U4"/>
    <mergeCell ref="V4:Z4"/>
    <mergeCell ref="AA4:AD4"/>
    <mergeCell ref="AE4:AH4"/>
    <mergeCell ref="AI4:AM4"/>
    <mergeCell ref="AN4:AQ4"/>
    <mergeCell ref="A6:AQ6"/>
    <mergeCell ref="A29:AQ29"/>
  </mergeCells>
  <conditionalFormatting sqref="E7:AQ7">
    <cfRule type="expression" priority="2" aboveAverage="0" equalAverage="0" bottom="0" percent="0" rank="0" text="" dxfId="2">
      <formula>E7=2</formula>
    </cfRule>
    <cfRule type="expression" priority="3" aboveAverage="0" equalAverage="0" bottom="0" percent="0" rank="0" text="" dxfId="3">
      <formula>E7=1</formula>
    </cfRule>
  </conditionalFormatting>
  <conditionalFormatting sqref="E8:AQ8">
    <cfRule type="expression" priority="4" aboveAverage="0" equalAverage="0" bottom="0" percent="0" rank="0" text="" dxfId="2">
      <formula>E8=2</formula>
    </cfRule>
    <cfRule type="expression" priority="5" aboveAverage="0" equalAverage="0" bottom="0" percent="0" rank="0" text="" dxfId="3">
      <formula>E8=1</formula>
    </cfRule>
  </conditionalFormatting>
  <conditionalFormatting sqref="E9:AQ9">
    <cfRule type="expression" priority="6" aboveAverage="0" equalAverage="0" bottom="0" percent="0" rank="0" text="" dxfId="2">
      <formula>E9=2</formula>
    </cfRule>
    <cfRule type="expression" priority="7" aboveAverage="0" equalAverage="0" bottom="0" percent="0" rank="0" text="" dxfId="4">
      <formula>E9=1</formula>
    </cfRule>
  </conditionalFormatting>
  <conditionalFormatting sqref="E10:AQ10">
    <cfRule type="expression" priority="8" aboveAverage="0" equalAverage="0" bottom="0" percent="0" rank="0" text="" dxfId="2">
      <formula>E10=2</formula>
    </cfRule>
    <cfRule type="expression" priority="9" aboveAverage="0" equalAverage="0" bottom="0" percent="0" rank="0" text="" dxfId="5">
      <formula>E10=1</formula>
    </cfRule>
  </conditionalFormatting>
  <conditionalFormatting sqref="E11:AQ11">
    <cfRule type="expression" priority="10" aboveAverage="0" equalAverage="0" bottom="0" percent="0" rank="0" text="" dxfId="2">
      <formula>E11=2</formula>
    </cfRule>
    <cfRule type="expression" priority="11" aboveAverage="0" equalAverage="0" bottom="0" percent="0" rank="0" text="" dxfId="6">
      <formula>E11=1</formula>
    </cfRule>
  </conditionalFormatting>
  <conditionalFormatting sqref="E12:AQ12">
    <cfRule type="expression" priority="12" aboveAverage="0" equalAverage="0" bottom="0" percent="0" rank="0" text="" dxfId="2">
      <formula>E12=2</formula>
    </cfRule>
    <cfRule type="expression" priority="13" aboveAverage="0" equalAverage="0" bottom="0" percent="0" rank="0" text="" dxfId="6">
      <formula>E12=1</formula>
    </cfRule>
  </conditionalFormatting>
  <conditionalFormatting sqref="E13:AQ13">
    <cfRule type="expression" priority="14" aboveAverage="0" equalAverage="0" bottom="0" percent="0" rank="0" text="" dxfId="2">
      <formula>E13=2</formula>
    </cfRule>
    <cfRule type="expression" priority="15" aboveAverage="0" equalAverage="0" bottom="0" percent="0" rank="0" text="" dxfId="6">
      <formula>E13=1</formula>
    </cfRule>
  </conditionalFormatting>
  <conditionalFormatting sqref="E14:AQ14">
    <cfRule type="expression" priority="16" aboveAverage="0" equalAverage="0" bottom="0" percent="0" rank="0" text="" dxfId="2">
      <formula>E14=2</formula>
    </cfRule>
    <cfRule type="expression" priority="17" aboveAverage="0" equalAverage="0" bottom="0" percent="0" rank="0" text="" dxfId="6">
      <formula>E14=1</formula>
    </cfRule>
  </conditionalFormatting>
  <conditionalFormatting sqref="E15:AQ15">
    <cfRule type="expression" priority="18" aboveAverage="0" equalAverage="0" bottom="0" percent="0" rank="0" text="" dxfId="2">
      <formula>E15=2</formula>
    </cfRule>
    <cfRule type="expression" priority="19" aboveAverage="0" equalAverage="0" bottom="0" percent="0" rank="0" text="" dxfId="7">
      <formula>E15=1</formula>
    </cfRule>
  </conditionalFormatting>
  <conditionalFormatting sqref="E16:AQ16">
    <cfRule type="expression" priority="20" aboveAverage="0" equalAverage="0" bottom="0" percent="0" rank="0" text="" dxfId="2">
      <formula>E16=2</formula>
    </cfRule>
    <cfRule type="expression" priority="21" aboveAverage="0" equalAverage="0" bottom="0" percent="0" rank="0" text="" dxfId="8">
      <formula>E16=1</formula>
    </cfRule>
  </conditionalFormatting>
  <conditionalFormatting sqref="E17:AQ17">
    <cfRule type="expression" priority="22" aboveAverage="0" equalAverage="0" bottom="0" percent="0" rank="0" text="" dxfId="2">
      <formula>E17=2</formula>
    </cfRule>
    <cfRule type="expression" priority="23" aboveAverage="0" equalAverage="0" bottom="0" percent="0" rank="0" text="" dxfId="8">
      <formula>E17=1</formula>
    </cfRule>
  </conditionalFormatting>
  <conditionalFormatting sqref="E18:AQ18">
    <cfRule type="expression" priority="24" aboveAverage="0" equalAverage="0" bottom="0" percent="0" rank="0" text="" dxfId="2">
      <formula>E18=2</formula>
    </cfRule>
    <cfRule type="expression" priority="25" aboveAverage="0" equalAverage="0" bottom="0" percent="0" rank="0" text="" dxfId="8">
      <formula>E18=1</formula>
    </cfRule>
  </conditionalFormatting>
  <conditionalFormatting sqref="E19:AQ19">
    <cfRule type="expression" priority="26" aboveAverage="0" equalAverage="0" bottom="0" percent="0" rank="0" text="" dxfId="2">
      <formula>E19=2</formula>
    </cfRule>
    <cfRule type="expression" priority="27" aboveAverage="0" equalAverage="0" bottom="0" percent="0" rank="0" text="" dxfId="8">
      <formula>E19=1</formula>
    </cfRule>
  </conditionalFormatting>
  <conditionalFormatting sqref="E20:AQ20">
    <cfRule type="expression" priority="28" aboveAverage="0" equalAverage="0" bottom="0" percent="0" rank="0" text="" dxfId="2">
      <formula>E20=2</formula>
    </cfRule>
    <cfRule type="expression" priority="29" aboveAverage="0" equalAverage="0" bottom="0" percent="0" rank="0" text="" dxfId="8">
      <formula>E20=1</formula>
    </cfRule>
  </conditionalFormatting>
  <conditionalFormatting sqref="E21:AQ21">
    <cfRule type="expression" priority="30" aboveAverage="0" equalAverage="0" bottom="0" percent="0" rank="0" text="" dxfId="2">
      <formula>E21=2</formula>
    </cfRule>
    <cfRule type="expression" priority="31" aboveAverage="0" equalAverage="0" bottom="0" percent="0" rank="0" text="" dxfId="9">
      <formula>E21=1</formula>
    </cfRule>
  </conditionalFormatting>
  <conditionalFormatting sqref="E22:AQ22">
    <cfRule type="expression" priority="32" aboveAverage="0" equalAverage="0" bottom="0" percent="0" rank="0" text="" dxfId="2">
      <formula>E22=2</formula>
    </cfRule>
    <cfRule type="expression" priority="33" aboveAverage="0" equalAverage="0" bottom="0" percent="0" rank="0" text="" dxfId="10">
      <formula>E22=1</formula>
    </cfRule>
  </conditionalFormatting>
  <conditionalFormatting sqref="E23:AQ23">
    <cfRule type="expression" priority="34" aboveAverage="0" equalAverage="0" bottom="0" percent="0" rank="0" text="" dxfId="2">
      <formula>E23=2</formula>
    </cfRule>
    <cfRule type="expression" priority="35" aboveAverage="0" equalAverage="0" bottom="0" percent="0" rank="0" text="" dxfId="11">
      <formula>E23=1</formula>
    </cfRule>
  </conditionalFormatting>
  <conditionalFormatting sqref="E24:AQ24">
    <cfRule type="expression" priority="36" aboveAverage="0" equalAverage="0" bottom="0" percent="0" rank="0" text="" dxfId="2">
      <formula>E24=2</formula>
    </cfRule>
    <cfRule type="expression" priority="37" aboveAverage="0" equalAverage="0" bottom="0" percent="0" rank="0" text="" dxfId="11">
      <formula>E24=1</formula>
    </cfRule>
  </conditionalFormatting>
  <conditionalFormatting sqref="E25:AQ25">
    <cfRule type="expression" priority="38" aboveAverage="0" equalAverage="0" bottom="0" percent="0" rank="0" text="" dxfId="2">
      <formula>E25=2</formula>
    </cfRule>
    <cfRule type="expression" priority="39" aboveAverage="0" equalAverage="0" bottom="0" percent="0" rank="0" text="" dxfId="11">
      <formula>E25=1</formula>
    </cfRule>
  </conditionalFormatting>
  <conditionalFormatting sqref="E26:AQ26">
    <cfRule type="expression" priority="40" aboveAverage="0" equalAverage="0" bottom="0" percent="0" rank="0" text="" dxfId="2">
      <formula>E26=2</formula>
    </cfRule>
    <cfRule type="expression" priority="41" aboveAverage="0" equalAverage="0" bottom="0" percent="0" rank="0" text="" dxfId="11">
      <formula>E26=1</formula>
    </cfRule>
  </conditionalFormatting>
  <conditionalFormatting sqref="E27:AQ27">
    <cfRule type="expression" priority="42" aboveAverage="0" equalAverage="0" bottom="0" percent="0" rank="0" text="" dxfId="2">
      <formula>E27=2</formula>
    </cfRule>
    <cfRule type="expression" priority="43" aboveAverage="0" equalAverage="0" bottom="0" percent="0" rank="0" text="" dxfId="11">
      <formula>E27=1</formula>
    </cfRule>
  </conditionalFormatting>
  <conditionalFormatting sqref="E30:AQ30">
    <cfRule type="expression" priority="44" aboveAverage="0" equalAverage="0" bottom="0" percent="0" rank="0" text="" dxfId="2">
      <formula>E30=2</formula>
    </cfRule>
    <cfRule type="expression" priority="45" aboveAverage="0" equalAverage="0" bottom="0" percent="0" rank="0" text="" dxfId="4">
      <formula>E30=1</formula>
    </cfRule>
  </conditionalFormatting>
  <conditionalFormatting sqref="E31:AQ31">
    <cfRule type="expression" priority="46" aboveAverage="0" equalAverage="0" bottom="0" percent="0" rank="0" text="" dxfId="2">
      <formula>E31=2</formula>
    </cfRule>
    <cfRule type="expression" priority="47" aboveAverage="0" equalAverage="0" bottom="0" percent="0" rank="0" text="" dxfId="4">
      <formula>E31=1</formula>
    </cfRule>
  </conditionalFormatting>
  <conditionalFormatting sqref="E32:AQ32">
    <cfRule type="expression" priority="48" aboveAverage="0" equalAverage="0" bottom="0" percent="0" rank="0" text="" dxfId="2">
      <formula>E32=2</formula>
    </cfRule>
    <cfRule type="expression" priority="49" aboveAverage="0" equalAverage="0" bottom="0" percent="0" rank="0" text="" dxfId="5">
      <formula>E32=1</formula>
    </cfRule>
  </conditionalFormatting>
  <conditionalFormatting sqref="E33:AQ33">
    <cfRule type="expression" priority="50" aboveAverage="0" equalAverage="0" bottom="0" percent="0" rank="0" text="" dxfId="2">
      <formula>E33=2</formula>
    </cfRule>
    <cfRule type="expression" priority="51" aboveAverage="0" equalAverage="0" bottom="0" percent="0" rank="0" text="" dxfId="5">
      <formula>E33=1</formula>
    </cfRule>
  </conditionalFormatting>
  <conditionalFormatting sqref="E34:AQ34">
    <cfRule type="expression" priority="52" aboveAverage="0" equalAverage="0" bottom="0" percent="0" rank="0" text="" dxfId="2">
      <formula>E34=2</formula>
    </cfRule>
    <cfRule type="expression" priority="53" aboveAverage="0" equalAverage="0" bottom="0" percent="0" rank="0" text="" dxfId="5">
      <formula>E34=1</formula>
    </cfRule>
  </conditionalFormatting>
  <conditionalFormatting sqref="E35:AQ35">
    <cfRule type="expression" priority="54" aboveAverage="0" equalAverage="0" bottom="0" percent="0" rank="0" text="" dxfId="2">
      <formula>E35=2</formula>
    </cfRule>
    <cfRule type="expression" priority="55" aboveAverage="0" equalAverage="0" bottom="0" percent="0" rank="0" text="" dxfId="6">
      <formula>E35=1</formula>
    </cfRule>
  </conditionalFormatting>
  <conditionalFormatting sqref="E36:AQ36">
    <cfRule type="expression" priority="56" aboveAverage="0" equalAverage="0" bottom="0" percent="0" rank="0" text="" dxfId="2">
      <formula>E36=2</formula>
    </cfRule>
    <cfRule type="expression" priority="57" aboveAverage="0" equalAverage="0" bottom="0" percent="0" rank="0" text="" dxfId="7">
      <formula>E36=1</formula>
    </cfRule>
  </conditionalFormatting>
  <conditionalFormatting sqref="E37:AQ37">
    <cfRule type="expression" priority="58" aboveAverage="0" equalAverage="0" bottom="0" percent="0" rank="0" text="" dxfId="2">
      <formula>E37=2</formula>
    </cfRule>
    <cfRule type="expression" priority="59" aboveAverage="0" equalAverage="0" bottom="0" percent="0" rank="0" text="" dxfId="7">
      <formula>E37=1</formula>
    </cfRule>
  </conditionalFormatting>
  <conditionalFormatting sqref="E38:AQ38">
    <cfRule type="expression" priority="60" aboveAverage="0" equalAverage="0" bottom="0" percent="0" rank="0" text="" dxfId="2">
      <formula>E38=2</formula>
    </cfRule>
    <cfRule type="expression" priority="61" aboveAverage="0" equalAverage="0" bottom="0" percent="0" rank="0" text="" dxfId="7">
      <formula>E38=1</formula>
    </cfRule>
  </conditionalFormatting>
  <conditionalFormatting sqref="E39:AQ39">
    <cfRule type="expression" priority="62" aboveAverage="0" equalAverage="0" bottom="0" percent="0" rank="0" text="" dxfId="2">
      <formula>E39=2</formula>
    </cfRule>
    <cfRule type="expression" priority="63" aboveAverage="0" equalAverage="0" bottom="0" percent="0" rank="0" text="" dxfId="8">
      <formula>E39=1</formula>
    </cfRule>
  </conditionalFormatting>
  <conditionalFormatting sqref="E40:AQ40">
    <cfRule type="expression" priority="64" aboveAverage="0" equalAverage="0" bottom="0" percent="0" rank="0" text="" dxfId="2">
      <formula>E40=2</formula>
    </cfRule>
    <cfRule type="expression" priority="65" aboveAverage="0" equalAverage="0" bottom="0" percent="0" rank="0" text="" dxfId="8">
      <formula>E40=1</formula>
    </cfRule>
  </conditionalFormatting>
  <conditionalFormatting sqref="E41:AQ41">
    <cfRule type="expression" priority="66" aboveAverage="0" equalAverage="0" bottom="0" percent="0" rank="0" text="" dxfId="2">
      <formula>E41=2</formula>
    </cfRule>
    <cfRule type="expression" priority="67" aboveAverage="0" equalAverage="0" bottom="0" percent="0" rank="0" text="" dxfId="9">
      <formula>E41=1</formula>
    </cfRule>
  </conditionalFormatting>
  <conditionalFormatting sqref="E42:AQ42">
    <cfRule type="expression" priority="68" aboveAverage="0" equalAverage="0" bottom="0" percent="0" rank="0" text="" dxfId="2">
      <formula>E42=2</formula>
    </cfRule>
    <cfRule type="expression" priority="69" aboveAverage="0" equalAverage="0" bottom="0" percent="0" rank="0" text="" dxfId="10">
      <formula>E42=1</formula>
    </cfRule>
  </conditionalFormatting>
  <conditionalFormatting sqref="E43:AQ43">
    <cfRule type="expression" priority="70" aboveAverage="0" equalAverage="0" bottom="0" percent="0" rank="0" text="" dxfId="2">
      <formula>E43=2</formula>
    </cfRule>
    <cfRule type="expression" priority="71" aboveAverage="0" equalAverage="0" bottom="0" percent="0" rank="0" text="" dxfId="10">
      <formula>E43=1</formula>
    </cfRule>
  </conditionalFormatting>
  <conditionalFormatting sqref="E44:AQ44">
    <cfRule type="expression" priority="72" aboveAverage="0" equalAverage="0" bottom="0" percent="0" rank="0" text="" dxfId="2">
      <formula>E44=2</formula>
    </cfRule>
    <cfRule type="expression" priority="73" aboveAverage="0" equalAverage="0" bottom="0" percent="0" rank="0" text="" dxfId="11">
      <formula>E44=1</formula>
    </cfRule>
  </conditionalFormatting>
  <conditionalFormatting sqref="E45:AQ45">
    <cfRule type="expression" priority="74" aboveAverage="0" equalAverage="0" bottom="0" percent="0" rank="0" text="" dxfId="2">
      <formula>E45=2</formula>
    </cfRule>
    <cfRule type="expression" priority="75" aboveAverage="0" equalAverage="0" bottom="0" percent="0" rank="0" text="" dxfId="11">
      <formula>E45=1</formula>
    </cfRule>
  </conditionalFormatting>
  <conditionalFormatting sqref="E46:AQ46">
    <cfRule type="expression" priority="76" aboveAverage="0" equalAverage="0" bottom="0" percent="0" rank="0" text="" dxfId="2">
      <formula>E46=2</formula>
    </cfRule>
    <cfRule type="expression" priority="77" aboveAverage="0" equalAverage="0" bottom="0" percent="0" rank="0" text="" dxfId="11">
      <formula>E46=1</formula>
    </cfRule>
  </conditionalFormatting>
  <conditionalFormatting sqref="E47:AQ47">
    <cfRule type="expression" priority="78" aboveAverage="0" equalAverage="0" bottom="0" percent="0" rank="0" text="" dxfId="2">
      <formula>E47=2</formula>
    </cfRule>
    <cfRule type="expression" priority="79" aboveAverage="0" equalAverage="0" bottom="0" percent="0" rank="0" text="" dxfId="11">
      <formula>E47=1</formula>
    </cfRule>
  </conditionalFormatting>
  <conditionalFormatting sqref="E5:AQ47">
    <cfRule type="expression" priority="80" aboveAverage="0" equalAverage="0" bottom="0" percent="0" rank="0" text="" dxfId="12">
      <formula>E$5=INT((TODAY()-Overview!$C$4)/7)+1</formula>
    </cfRule>
  </conditionalFormatting>
  <printOptions headings="false" gridLines="false" gridLinesSet="true" horizontalCentered="false" verticalCentered="false"/>
  <pageMargins left="0.4" right="0.4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Developed by Rajesh Kumar Singh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46E5"/>
    <pageSetUpPr fitToPage="true"/>
  </sheetPr>
  <dimension ref="A1:M7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30"/>
    <col collapsed="false" customWidth="true" hidden="false" outlineLevel="0" max="7" min="7" style="0" width="56"/>
    <col collapsed="false" customWidth="true" hidden="false" outlineLevel="0" max="8" min="8" style="0" width="26"/>
    <col collapsed="false" customWidth="true" hidden="false" outlineLevel="0" max="9" min="9" style="0" width="22"/>
    <col collapsed="false" customWidth="true" hidden="false" outlineLevel="0" max="10" min="10" style="0" width="44"/>
    <col collapsed="false" customWidth="true" hidden="false" outlineLevel="0" max="11" min="11" style="0" width="8"/>
    <col collapsed="false" customWidth="true" hidden="false" outlineLevel="0" max="12" min="12" style="0" width="13"/>
    <col collapsed="false" customWidth="true" hidden="false" outlineLevel="0" max="13" min="13" style="0" width="26"/>
  </cols>
  <sheetData>
    <row r="1" customFormat="false" ht="42" hidden="false" customHeight="true" outlineLevel="0" collapsed="false">
      <c r="A1" s="57" t="s">
        <v>133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 customFormat="false" ht="24" hidden="false" customHeight="true" outlineLevel="0" collapsed="false">
      <c r="A2" s="4" t="s">
        <v>134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customFormat="false" ht="21.75" hidden="false" customHeight="true" outlineLevel="0" collapsed="false">
      <c r="A3" s="52" t="s">
        <v>135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</row>
    <row r="4" customFormat="false" ht="6" hidden="false" customHeight="true" outlineLevel="0" collapsed="false"/>
    <row r="5" customFormat="false" ht="37.5" hidden="false" customHeight="true" outlineLevel="0" collapsed="false">
      <c r="A5" s="34" t="s">
        <v>136</v>
      </c>
      <c r="B5" s="34" t="s">
        <v>137</v>
      </c>
      <c r="C5" s="34" t="s">
        <v>138</v>
      </c>
      <c r="D5" s="34" t="s">
        <v>139</v>
      </c>
      <c r="E5" s="34" t="s">
        <v>18</v>
      </c>
      <c r="F5" s="34" t="s">
        <v>92</v>
      </c>
      <c r="G5" s="34" t="s">
        <v>140</v>
      </c>
      <c r="H5" s="34" t="s">
        <v>141</v>
      </c>
      <c r="I5" s="34" t="s">
        <v>142</v>
      </c>
      <c r="J5" s="34" t="s">
        <v>143</v>
      </c>
      <c r="K5" s="34" t="s">
        <v>144</v>
      </c>
      <c r="L5" s="34" t="s">
        <v>145</v>
      </c>
      <c r="M5" s="34" t="s">
        <v>146</v>
      </c>
    </row>
    <row r="6" customFormat="false" ht="43.5" hidden="false" customHeight="true" outlineLevel="0" collapsed="false">
      <c r="A6" s="97" t="str">
        <f aca="false">IF(B6="Yes",COUNTIF(B$6:B6,"Yes"),"—")</f>
        <v>—</v>
      </c>
      <c r="B6" s="98" t="str">
        <f aca="false">IF(Overview!$C$6="Beginner","Yes","No")</f>
        <v>No</v>
      </c>
      <c r="C6" s="61" t="str">
        <f aca="false">IF(B6="Yes",Overview!$C$4+7*(COUNTIF(B$6:B6,"Yes")-1),"—")</f>
        <v>—</v>
      </c>
      <c r="D6" s="61" t="str">
        <f aca="false">IF(B6="Yes",C6+6,"—")</f>
        <v>—</v>
      </c>
      <c r="E6" s="99" t="s">
        <v>21</v>
      </c>
      <c r="F6" s="100" t="s">
        <v>96</v>
      </c>
      <c r="G6" s="101" t="s">
        <v>147</v>
      </c>
      <c r="H6" s="102" t="s">
        <v>148</v>
      </c>
      <c r="I6" s="102" t="s">
        <v>149</v>
      </c>
      <c r="J6" s="101" t="s">
        <v>150</v>
      </c>
      <c r="K6" s="103" t="n">
        <f aca="false">IF(B6="Yes",Overview!$C$5,0)</f>
        <v>0</v>
      </c>
      <c r="L6" s="98" t="s">
        <v>151</v>
      </c>
      <c r="M6" s="104"/>
    </row>
    <row r="7" customFormat="false" ht="45" hidden="false" customHeight="true" outlineLevel="0" collapsed="false">
      <c r="A7" s="97" t="str">
        <f aca="false">IF(B7="Yes",COUNTIF(B$6:B7,"Yes"),"—")</f>
        <v>—</v>
      </c>
      <c r="B7" s="98" t="str">
        <f aca="false">IF(Overview!$C$6="Beginner","Yes","No")</f>
        <v>No</v>
      </c>
      <c r="C7" s="61" t="str">
        <f aca="false">IF(B7="Yes",Overview!$C$4+7*(COUNTIF(B$6:B7,"Yes")-1),"—")</f>
        <v>—</v>
      </c>
      <c r="D7" s="61" t="str">
        <f aca="false">IF(B7="Yes",C7+6,"—")</f>
        <v>—</v>
      </c>
      <c r="E7" s="99" t="s">
        <v>21</v>
      </c>
      <c r="F7" s="100" t="s">
        <v>96</v>
      </c>
      <c r="G7" s="101" t="s">
        <v>152</v>
      </c>
      <c r="H7" s="102" t="s">
        <v>153</v>
      </c>
      <c r="I7" s="102" t="s">
        <v>154</v>
      </c>
      <c r="J7" s="101" t="s">
        <v>150</v>
      </c>
      <c r="K7" s="103" t="n">
        <f aca="false">IF(B7="Yes",Overview!$C$5,0)</f>
        <v>0</v>
      </c>
      <c r="L7" s="98" t="s">
        <v>151</v>
      </c>
      <c r="M7" s="104"/>
    </row>
    <row r="8" customFormat="false" ht="43.5" hidden="false" customHeight="true" outlineLevel="0" collapsed="false">
      <c r="A8" s="97" t="str">
        <f aca="false">IF(B8="Yes",COUNTIF(B$6:B8,"Yes"),"—")</f>
        <v>—</v>
      </c>
      <c r="B8" s="98" t="str">
        <f aca="false">IF(Overview!$C$6="Beginner","Yes","No")</f>
        <v>No</v>
      </c>
      <c r="C8" s="61" t="str">
        <f aca="false">IF(B8="Yes",Overview!$C$4+7*(COUNTIF(B$6:B8,"Yes")-1),"—")</f>
        <v>—</v>
      </c>
      <c r="D8" s="61" t="str">
        <f aca="false">IF(B8="Yes",C8+6,"—")</f>
        <v>—</v>
      </c>
      <c r="E8" s="99" t="s">
        <v>21</v>
      </c>
      <c r="F8" s="100" t="s">
        <v>96</v>
      </c>
      <c r="G8" s="101" t="s">
        <v>155</v>
      </c>
      <c r="H8" s="102" t="s">
        <v>156</v>
      </c>
      <c r="I8" s="102" t="s">
        <v>157</v>
      </c>
      <c r="J8" s="101" t="s">
        <v>150</v>
      </c>
      <c r="K8" s="103" t="n">
        <f aca="false">IF(B8="Yes",Overview!$C$5,0)</f>
        <v>0</v>
      </c>
      <c r="L8" s="98" t="s">
        <v>151</v>
      </c>
      <c r="M8" s="104"/>
    </row>
    <row r="9" customFormat="false" ht="45" hidden="false" customHeight="true" outlineLevel="0" collapsed="false">
      <c r="A9" s="97" t="str">
        <f aca="false">IF(B9="Yes",COUNTIF(B$6:B9,"Yes"),"—")</f>
        <v>—</v>
      </c>
      <c r="B9" s="98" t="str">
        <f aca="false">IF(Overview!$C$6="Beginner","Yes","No")</f>
        <v>No</v>
      </c>
      <c r="C9" s="61" t="str">
        <f aca="false">IF(B9="Yes",Overview!$C$4+7*(COUNTIF(B$6:B9,"Yes")-1),"—")</f>
        <v>—</v>
      </c>
      <c r="D9" s="61" t="str">
        <f aca="false">IF(B9="Yes",C9+6,"—")</f>
        <v>—</v>
      </c>
      <c r="E9" s="99" t="s">
        <v>21</v>
      </c>
      <c r="F9" s="100" t="s">
        <v>96</v>
      </c>
      <c r="G9" s="101" t="s">
        <v>158</v>
      </c>
      <c r="H9" s="102" t="s">
        <v>148</v>
      </c>
      <c r="I9" s="102" t="s">
        <v>159</v>
      </c>
      <c r="J9" s="101" t="s">
        <v>160</v>
      </c>
      <c r="K9" s="103" t="n">
        <f aca="false">IF(B9="Yes",Overview!$C$5,0)</f>
        <v>0</v>
      </c>
      <c r="L9" s="98" t="s">
        <v>151</v>
      </c>
      <c r="M9" s="104"/>
    </row>
    <row r="10" customFormat="false" ht="43.5" hidden="false" customHeight="true" outlineLevel="0" collapsed="false">
      <c r="A10" s="97" t="str">
        <f aca="false">IF(B10="Yes",COUNTIF(B$6:B10,"Yes"),"—")</f>
        <v>—</v>
      </c>
      <c r="B10" s="98" t="str">
        <f aca="false">IF(Overview!$C$6="Beginner","Yes","No")</f>
        <v>No</v>
      </c>
      <c r="C10" s="61" t="str">
        <f aca="false">IF(B10="Yes",Overview!$C$4+7*(COUNTIF(B$6:B10,"Yes")-1),"—")</f>
        <v>—</v>
      </c>
      <c r="D10" s="61" t="str">
        <f aca="false">IF(B10="Yes",C10+6,"—")</f>
        <v>—</v>
      </c>
      <c r="E10" s="99" t="s">
        <v>21</v>
      </c>
      <c r="F10" s="100" t="s">
        <v>97</v>
      </c>
      <c r="G10" s="101" t="s">
        <v>161</v>
      </c>
      <c r="H10" s="102" t="s">
        <v>148</v>
      </c>
      <c r="I10" s="102" t="s">
        <v>162</v>
      </c>
      <c r="J10" s="101" t="s">
        <v>163</v>
      </c>
      <c r="K10" s="103" t="n">
        <f aca="false">IF(B10="Yes",Overview!$C$5,0)</f>
        <v>0</v>
      </c>
      <c r="L10" s="98" t="s">
        <v>151</v>
      </c>
      <c r="M10" s="104"/>
    </row>
    <row r="11" customFormat="false" ht="43.5" hidden="false" customHeight="true" outlineLevel="0" collapsed="false">
      <c r="A11" s="97" t="str">
        <f aca="false">IF(B11="Yes",COUNTIF(B$6:B11,"Yes"),"—")</f>
        <v>—</v>
      </c>
      <c r="B11" s="98" t="str">
        <f aca="false">IF(Overview!$C$6="Beginner","Yes","No")</f>
        <v>No</v>
      </c>
      <c r="C11" s="61" t="str">
        <f aca="false">IF(B11="Yes",Overview!$C$4+7*(COUNTIF(B$6:B11,"Yes")-1),"—")</f>
        <v>—</v>
      </c>
      <c r="D11" s="61" t="str">
        <f aca="false">IF(B11="Yes",C11+6,"—")</f>
        <v>—</v>
      </c>
      <c r="E11" s="99" t="s">
        <v>21</v>
      </c>
      <c r="F11" s="100" t="s">
        <v>97</v>
      </c>
      <c r="G11" s="101" t="s">
        <v>164</v>
      </c>
      <c r="H11" s="102" t="s">
        <v>153</v>
      </c>
      <c r="I11" s="102" t="s">
        <v>165</v>
      </c>
      <c r="J11" s="101" t="s">
        <v>163</v>
      </c>
      <c r="K11" s="103" t="n">
        <f aca="false">IF(B11="Yes",Overview!$C$5,0)</f>
        <v>0</v>
      </c>
      <c r="L11" s="98" t="s">
        <v>151</v>
      </c>
      <c r="M11" s="104"/>
    </row>
    <row r="12" customFormat="false" ht="43.5" hidden="false" customHeight="true" outlineLevel="0" collapsed="false">
      <c r="A12" s="97" t="str">
        <f aca="false">IF(B12="Yes",COUNTIF(B$6:B12,"Yes"),"—")</f>
        <v>—</v>
      </c>
      <c r="B12" s="98" t="str">
        <f aca="false">IF(Overview!$C$6="Beginner","Yes","No")</f>
        <v>No</v>
      </c>
      <c r="C12" s="61" t="str">
        <f aca="false">IF(B12="Yes",Overview!$C$4+7*(COUNTIF(B$6:B12,"Yes")-1),"—")</f>
        <v>—</v>
      </c>
      <c r="D12" s="61" t="str">
        <f aca="false">IF(B12="Yes",C12+6,"—")</f>
        <v>—</v>
      </c>
      <c r="E12" s="99" t="s">
        <v>21</v>
      </c>
      <c r="F12" s="100" t="s">
        <v>97</v>
      </c>
      <c r="G12" s="101" t="s">
        <v>166</v>
      </c>
      <c r="H12" s="102" t="s">
        <v>156</v>
      </c>
      <c r="I12" s="102" t="s">
        <v>167</v>
      </c>
      <c r="J12" s="101" t="s">
        <v>163</v>
      </c>
      <c r="K12" s="103" t="n">
        <f aca="false">IF(B12="Yes",Overview!$C$5,0)</f>
        <v>0</v>
      </c>
      <c r="L12" s="98" t="s">
        <v>151</v>
      </c>
      <c r="M12" s="104"/>
    </row>
    <row r="13" customFormat="false" ht="45" hidden="false" customHeight="true" outlineLevel="0" collapsed="false">
      <c r="A13" s="97" t="str">
        <f aca="false">IF(B13="Yes",COUNTIF(B$6:B13,"Yes"),"—")</f>
        <v>—</v>
      </c>
      <c r="B13" s="98" t="str">
        <f aca="false">IF(Overview!$C$6="Beginner","Yes","No")</f>
        <v>No</v>
      </c>
      <c r="C13" s="61" t="str">
        <f aca="false">IF(B13="Yes",Overview!$C$4+7*(COUNTIF(B$6:B13,"Yes")-1),"—")</f>
        <v>—</v>
      </c>
      <c r="D13" s="61" t="str">
        <f aca="false">IF(B13="Yes",C13+6,"—")</f>
        <v>—</v>
      </c>
      <c r="E13" s="99" t="s">
        <v>21</v>
      </c>
      <c r="F13" s="100" t="s">
        <v>97</v>
      </c>
      <c r="G13" s="101" t="s">
        <v>168</v>
      </c>
      <c r="H13" s="102" t="s">
        <v>148</v>
      </c>
      <c r="I13" s="102" t="s">
        <v>169</v>
      </c>
      <c r="J13" s="101" t="s">
        <v>170</v>
      </c>
      <c r="K13" s="103" t="n">
        <f aca="false">IF(B13="Yes",Overview!$C$5,0)</f>
        <v>0</v>
      </c>
      <c r="L13" s="98" t="s">
        <v>151</v>
      </c>
      <c r="M13" s="104"/>
    </row>
    <row r="14" customFormat="false" ht="84" hidden="false" customHeight="true" outlineLevel="0" collapsed="false">
      <c r="A14" s="105" t="n">
        <f aca="false">IF(B14="Yes",COUNTIF(B$6:B14,"Yes"),"—")</f>
        <v>1</v>
      </c>
      <c r="B14" s="98" t="str">
        <f aca="false">IF(Overview!$C$6="Advanced","No","Yes")</f>
        <v>Yes</v>
      </c>
      <c r="C14" s="61" t="n">
        <f aca="false">IF(B14="Yes",Overview!$C$4+7*(COUNTIF(B$6:B14,"Yes")-1),"—")</f>
        <v>46307</v>
      </c>
      <c r="D14" s="61" t="n">
        <f aca="false">IF(B14="Yes",C14+6,"—")</f>
        <v>46313</v>
      </c>
      <c r="E14" s="106" t="s">
        <v>23</v>
      </c>
      <c r="F14" s="107" t="s">
        <v>98</v>
      </c>
      <c r="G14" s="101" t="s">
        <v>171</v>
      </c>
      <c r="H14" s="102" t="s">
        <v>172</v>
      </c>
      <c r="I14" s="102" t="s">
        <v>173</v>
      </c>
      <c r="J14" s="101" t="s">
        <v>174</v>
      </c>
      <c r="K14" s="103" t="n">
        <f aca="false">IF(B14="Yes",Overview!$C$5,0)</f>
        <v>20</v>
      </c>
      <c r="L14" s="98" t="s">
        <v>151</v>
      </c>
      <c r="M14" s="104" t="s">
        <v>175</v>
      </c>
    </row>
    <row r="15" customFormat="false" ht="84" hidden="false" customHeight="true" outlineLevel="0" collapsed="false">
      <c r="A15" s="105" t="n">
        <f aca="false">IF(B15="Yes",COUNTIF(B$6:B15,"Yes"),"—")</f>
        <v>2</v>
      </c>
      <c r="B15" s="98" t="str">
        <f aca="false">IF(Overview!$C$6="Advanced","No","Yes")</f>
        <v>Yes</v>
      </c>
      <c r="C15" s="61" t="n">
        <f aca="false">IF(B15="Yes",Overview!$C$4+7*(COUNTIF(B$6:B15,"Yes")-1),"—")</f>
        <v>46314</v>
      </c>
      <c r="D15" s="61" t="n">
        <f aca="false">IF(B15="Yes",C15+6,"—")</f>
        <v>46320</v>
      </c>
      <c r="E15" s="106" t="s">
        <v>23</v>
      </c>
      <c r="F15" s="107" t="s">
        <v>98</v>
      </c>
      <c r="G15" s="101" t="s">
        <v>176</v>
      </c>
      <c r="H15" s="102" t="s">
        <v>177</v>
      </c>
      <c r="I15" s="102" t="s">
        <v>178</v>
      </c>
      <c r="J15" s="101" t="s">
        <v>179</v>
      </c>
      <c r="K15" s="103" t="n">
        <f aca="false">IF(B15="Yes",Overview!$C$5,0)</f>
        <v>20</v>
      </c>
      <c r="L15" s="98" t="s">
        <v>151</v>
      </c>
      <c r="M15" s="104" t="s">
        <v>175</v>
      </c>
    </row>
    <row r="16" customFormat="false" ht="70.5" hidden="false" customHeight="true" outlineLevel="0" collapsed="false">
      <c r="A16" s="108" t="n">
        <f aca="false">IF(B16="Yes",COUNTIF(B$6:B16,"Yes"),"—")</f>
        <v>3</v>
      </c>
      <c r="B16" s="98" t="s">
        <v>180</v>
      </c>
      <c r="C16" s="61" t="n">
        <f aca="false">IF(B16="Yes",Overview!$C$4+7*(COUNTIF(B$6:B16,"Yes")-1),"—")</f>
        <v>46321</v>
      </c>
      <c r="D16" s="61" t="n">
        <f aca="false">IF(B16="Yes",C16+6,"—")</f>
        <v>46327</v>
      </c>
      <c r="E16" s="109" t="s">
        <v>25</v>
      </c>
      <c r="F16" s="110" t="s">
        <v>99</v>
      </c>
      <c r="G16" s="101" t="s">
        <v>181</v>
      </c>
      <c r="H16" s="102" t="s">
        <v>182</v>
      </c>
      <c r="I16" s="102" t="s">
        <v>183</v>
      </c>
      <c r="J16" s="101" t="s">
        <v>184</v>
      </c>
      <c r="K16" s="103" t="n">
        <f aca="false">IF(B16="Yes",Overview!$C$5,0)</f>
        <v>20</v>
      </c>
      <c r="L16" s="98" t="s">
        <v>151</v>
      </c>
      <c r="M16" s="104" t="s">
        <v>175</v>
      </c>
    </row>
    <row r="17" customFormat="false" ht="84" hidden="false" customHeight="true" outlineLevel="0" collapsed="false">
      <c r="A17" s="108" t="n">
        <f aca="false">IF(B17="Yes",COUNTIF(B$6:B17,"Yes"),"—")</f>
        <v>4</v>
      </c>
      <c r="B17" s="98" t="s">
        <v>180</v>
      </c>
      <c r="C17" s="61" t="n">
        <f aca="false">IF(B17="Yes",Overview!$C$4+7*(COUNTIF(B$6:B17,"Yes")-1),"—")</f>
        <v>46328</v>
      </c>
      <c r="D17" s="61" t="n">
        <f aca="false">IF(B17="Yes",C17+6,"—")</f>
        <v>46334</v>
      </c>
      <c r="E17" s="109" t="s">
        <v>25</v>
      </c>
      <c r="F17" s="110" t="s">
        <v>99</v>
      </c>
      <c r="G17" s="101" t="s">
        <v>185</v>
      </c>
      <c r="H17" s="102" t="s">
        <v>186</v>
      </c>
      <c r="I17" s="102" t="s">
        <v>187</v>
      </c>
      <c r="J17" s="101" t="s">
        <v>188</v>
      </c>
      <c r="K17" s="103" t="n">
        <f aca="false">IF(B17="Yes",Overview!$C$5,0)</f>
        <v>20</v>
      </c>
      <c r="L17" s="98" t="s">
        <v>151</v>
      </c>
      <c r="M17" s="104" t="s">
        <v>175</v>
      </c>
    </row>
    <row r="18" customFormat="false" ht="45" hidden="false" customHeight="true" outlineLevel="0" collapsed="false">
      <c r="A18" s="111" t="n">
        <f aca="false">IF(B18="Yes",COUNTIF(B$6:B18,"Yes"),"—")</f>
        <v>5</v>
      </c>
      <c r="B18" s="98" t="s">
        <v>180</v>
      </c>
      <c r="C18" s="61" t="n">
        <f aca="false">IF(B18="Yes",Overview!$C$4+7*(COUNTIF(B$6:B18,"Yes")-1),"—")</f>
        <v>46335</v>
      </c>
      <c r="D18" s="61" t="n">
        <f aca="false">IF(B18="Yes",C18+6,"—")</f>
        <v>46341</v>
      </c>
      <c r="E18" s="112" t="s">
        <v>27</v>
      </c>
      <c r="F18" s="113" t="s">
        <v>100</v>
      </c>
      <c r="G18" s="101" t="s">
        <v>189</v>
      </c>
      <c r="H18" s="102" t="s">
        <v>177</v>
      </c>
      <c r="I18" s="102" t="s">
        <v>173</v>
      </c>
      <c r="J18" s="101" t="s">
        <v>190</v>
      </c>
      <c r="K18" s="103" t="n">
        <f aca="false">IF(B18="Yes",Overview!$C$5,0)</f>
        <v>20</v>
      </c>
      <c r="L18" s="98" t="s">
        <v>151</v>
      </c>
      <c r="M18" s="104" t="s">
        <v>175</v>
      </c>
    </row>
    <row r="19" customFormat="false" ht="57.75" hidden="false" customHeight="true" outlineLevel="0" collapsed="false">
      <c r="A19" s="111" t="n">
        <f aca="false">IF(B19="Yes",COUNTIF(B$6:B19,"Yes"),"—")</f>
        <v>6</v>
      </c>
      <c r="B19" s="98" t="s">
        <v>180</v>
      </c>
      <c r="C19" s="61" t="n">
        <f aca="false">IF(B19="Yes",Overview!$C$4+7*(COUNTIF(B$6:B19,"Yes")-1),"—")</f>
        <v>46342</v>
      </c>
      <c r="D19" s="61" t="n">
        <f aca="false">IF(B19="Yes",C19+6,"—")</f>
        <v>46348</v>
      </c>
      <c r="E19" s="112" t="s">
        <v>27</v>
      </c>
      <c r="F19" s="113" t="s">
        <v>100</v>
      </c>
      <c r="G19" s="101" t="s">
        <v>191</v>
      </c>
      <c r="H19" s="102" t="s">
        <v>192</v>
      </c>
      <c r="I19" s="102" t="s">
        <v>193</v>
      </c>
      <c r="J19" s="101" t="s">
        <v>190</v>
      </c>
      <c r="K19" s="103" t="n">
        <f aca="false">IF(B19="Yes",Overview!$C$5,0)</f>
        <v>20</v>
      </c>
      <c r="L19" s="98" t="s">
        <v>151</v>
      </c>
      <c r="M19" s="104" t="s">
        <v>175</v>
      </c>
    </row>
    <row r="20" customFormat="false" ht="70.5" hidden="false" customHeight="true" outlineLevel="0" collapsed="false">
      <c r="A20" s="111" t="n">
        <f aca="false">IF(B20="Yes",COUNTIF(B$6:B20,"Yes"),"—")</f>
        <v>7</v>
      </c>
      <c r="B20" s="98" t="s">
        <v>180</v>
      </c>
      <c r="C20" s="61" t="n">
        <f aca="false">IF(B20="Yes",Overview!$C$4+7*(COUNTIF(B$6:B20,"Yes")-1),"—")</f>
        <v>46349</v>
      </c>
      <c r="D20" s="61" t="n">
        <f aca="false">IF(B20="Yes",C20+6,"—")</f>
        <v>46355</v>
      </c>
      <c r="E20" s="112" t="s">
        <v>27</v>
      </c>
      <c r="F20" s="113" t="s">
        <v>100</v>
      </c>
      <c r="G20" s="101" t="s">
        <v>194</v>
      </c>
      <c r="H20" s="102" t="s">
        <v>195</v>
      </c>
      <c r="I20" s="102" t="s">
        <v>196</v>
      </c>
      <c r="J20" s="101" t="s">
        <v>197</v>
      </c>
      <c r="K20" s="103" t="n">
        <f aca="false">IF(B20="Yes",Overview!$C$5,0)</f>
        <v>20</v>
      </c>
      <c r="L20" s="98" t="s">
        <v>151</v>
      </c>
      <c r="M20" s="104" t="s">
        <v>175</v>
      </c>
    </row>
    <row r="21" customFormat="false" ht="57.75" hidden="false" customHeight="true" outlineLevel="0" collapsed="false">
      <c r="A21" s="111" t="n">
        <f aca="false">IF(B21="Yes",COUNTIF(B$6:B21,"Yes"),"—")</f>
        <v>8</v>
      </c>
      <c r="B21" s="98" t="s">
        <v>180</v>
      </c>
      <c r="C21" s="61" t="n">
        <f aca="false">IF(B21="Yes",Overview!$C$4+7*(COUNTIF(B$6:B21,"Yes")-1),"—")</f>
        <v>46356</v>
      </c>
      <c r="D21" s="61" t="n">
        <f aca="false">IF(B21="Yes",C21+6,"—")</f>
        <v>46362</v>
      </c>
      <c r="E21" s="112" t="s">
        <v>27</v>
      </c>
      <c r="F21" s="113" t="s">
        <v>101</v>
      </c>
      <c r="G21" s="101" t="s">
        <v>198</v>
      </c>
      <c r="H21" s="102" t="s">
        <v>177</v>
      </c>
      <c r="I21" s="102" t="s">
        <v>199</v>
      </c>
      <c r="J21" s="101" t="s">
        <v>200</v>
      </c>
      <c r="K21" s="103" t="n">
        <f aca="false">IF(B21="Yes",Overview!$C$5,0)</f>
        <v>20</v>
      </c>
      <c r="L21" s="98" t="s">
        <v>151</v>
      </c>
      <c r="M21" s="104" t="s">
        <v>175</v>
      </c>
    </row>
    <row r="22" customFormat="false" ht="57.75" hidden="false" customHeight="true" outlineLevel="0" collapsed="false">
      <c r="A22" s="111" t="n">
        <f aca="false">IF(B22="Yes",COUNTIF(B$6:B22,"Yes"),"—")</f>
        <v>9</v>
      </c>
      <c r="B22" s="98" t="s">
        <v>180</v>
      </c>
      <c r="C22" s="61" t="n">
        <f aca="false">IF(B22="Yes",Overview!$C$4+7*(COUNTIF(B$6:B22,"Yes")-1),"—")</f>
        <v>46363</v>
      </c>
      <c r="D22" s="61" t="n">
        <f aca="false">IF(B22="Yes",C22+6,"—")</f>
        <v>46369</v>
      </c>
      <c r="E22" s="112" t="s">
        <v>27</v>
      </c>
      <c r="F22" s="113" t="s">
        <v>101</v>
      </c>
      <c r="G22" s="101" t="s">
        <v>201</v>
      </c>
      <c r="H22" s="102" t="s">
        <v>172</v>
      </c>
      <c r="I22" s="102" t="s">
        <v>202</v>
      </c>
      <c r="J22" s="101" t="s">
        <v>200</v>
      </c>
      <c r="K22" s="103" t="n">
        <f aca="false">IF(B22="Yes",Overview!$C$5,0)</f>
        <v>20</v>
      </c>
      <c r="L22" s="98" t="s">
        <v>151</v>
      </c>
      <c r="M22" s="104" t="s">
        <v>175</v>
      </c>
    </row>
    <row r="23" customFormat="false" ht="57.75" hidden="false" customHeight="true" outlineLevel="0" collapsed="false">
      <c r="A23" s="111" t="n">
        <f aca="false">IF(B23="Yes",COUNTIF(B$6:B23,"Yes"),"—")</f>
        <v>10</v>
      </c>
      <c r="B23" s="98" t="s">
        <v>180</v>
      </c>
      <c r="C23" s="61" t="n">
        <f aca="false">IF(B23="Yes",Overview!$C$4+7*(COUNTIF(B$6:B23,"Yes")-1),"—")</f>
        <v>46370</v>
      </c>
      <c r="D23" s="61" t="n">
        <f aca="false">IF(B23="Yes",C23+6,"—")</f>
        <v>46376</v>
      </c>
      <c r="E23" s="112" t="s">
        <v>27</v>
      </c>
      <c r="F23" s="113" t="s">
        <v>101</v>
      </c>
      <c r="G23" s="101" t="s">
        <v>203</v>
      </c>
      <c r="H23" s="102" t="s">
        <v>195</v>
      </c>
      <c r="I23" s="102" t="s">
        <v>204</v>
      </c>
      <c r="J23" s="101" t="s">
        <v>205</v>
      </c>
      <c r="K23" s="103" t="n">
        <f aca="false">IF(B23="Yes",Overview!$C$5,0)</f>
        <v>20</v>
      </c>
      <c r="L23" s="98" t="s">
        <v>151</v>
      </c>
      <c r="M23" s="104" t="s">
        <v>175</v>
      </c>
    </row>
    <row r="24" customFormat="false" ht="45" hidden="false" customHeight="true" outlineLevel="0" collapsed="false">
      <c r="A24" s="111" t="n">
        <f aca="false">IF(B24="Yes",COUNTIF(B$6:B24,"Yes"),"—")</f>
        <v>11</v>
      </c>
      <c r="B24" s="98" t="s">
        <v>180</v>
      </c>
      <c r="C24" s="61" t="n">
        <f aca="false">IF(B24="Yes",Overview!$C$4+7*(COUNTIF(B$6:B24,"Yes")-1),"—")</f>
        <v>46377</v>
      </c>
      <c r="D24" s="61" t="n">
        <f aca="false">IF(B24="Yes",C24+6,"—")</f>
        <v>46383</v>
      </c>
      <c r="E24" s="112" t="s">
        <v>27</v>
      </c>
      <c r="F24" s="113" t="s">
        <v>102</v>
      </c>
      <c r="G24" s="101" t="s">
        <v>206</v>
      </c>
      <c r="H24" s="102" t="s">
        <v>177</v>
      </c>
      <c r="I24" s="102" t="s">
        <v>207</v>
      </c>
      <c r="J24" s="101" t="s">
        <v>208</v>
      </c>
      <c r="K24" s="103" t="n">
        <f aca="false">IF(B24="Yes",Overview!$C$5,0)</f>
        <v>20</v>
      </c>
      <c r="L24" s="98" t="s">
        <v>151</v>
      </c>
      <c r="M24" s="104" t="s">
        <v>175</v>
      </c>
    </row>
    <row r="25" customFormat="false" ht="45" hidden="false" customHeight="true" outlineLevel="0" collapsed="false">
      <c r="A25" s="111" t="n">
        <f aca="false">IF(B25="Yes",COUNTIF(B$6:B25,"Yes"),"—")</f>
        <v>12</v>
      </c>
      <c r="B25" s="98" t="s">
        <v>180</v>
      </c>
      <c r="C25" s="61" t="n">
        <f aca="false">IF(B25="Yes",Overview!$C$4+7*(COUNTIF(B$6:B25,"Yes")-1),"—")</f>
        <v>46384</v>
      </c>
      <c r="D25" s="61" t="n">
        <f aca="false">IF(B25="Yes",C25+6,"—")</f>
        <v>46390</v>
      </c>
      <c r="E25" s="112" t="s">
        <v>27</v>
      </c>
      <c r="F25" s="113" t="s">
        <v>102</v>
      </c>
      <c r="G25" s="101" t="s">
        <v>209</v>
      </c>
      <c r="H25" s="102" t="s">
        <v>192</v>
      </c>
      <c r="I25" s="102" t="s">
        <v>210</v>
      </c>
      <c r="J25" s="101" t="s">
        <v>208</v>
      </c>
      <c r="K25" s="103" t="n">
        <f aca="false">IF(B25="Yes",Overview!$C$5,0)</f>
        <v>20</v>
      </c>
      <c r="L25" s="98" t="s">
        <v>151</v>
      </c>
      <c r="M25" s="104" t="s">
        <v>175</v>
      </c>
    </row>
    <row r="26" customFormat="false" ht="57.75" hidden="false" customHeight="true" outlineLevel="0" collapsed="false">
      <c r="A26" s="111" t="n">
        <f aca="false">IF(B26="Yes",COUNTIF(B$6:B26,"Yes"),"—")</f>
        <v>13</v>
      </c>
      <c r="B26" s="98" t="s">
        <v>180</v>
      </c>
      <c r="C26" s="61" t="n">
        <f aca="false">IF(B26="Yes",Overview!$C$4+7*(COUNTIF(B$6:B26,"Yes")-1),"—")</f>
        <v>46391</v>
      </c>
      <c r="D26" s="61" t="n">
        <f aca="false">IF(B26="Yes",C26+6,"—")</f>
        <v>46397</v>
      </c>
      <c r="E26" s="112" t="s">
        <v>27</v>
      </c>
      <c r="F26" s="113" t="s">
        <v>102</v>
      </c>
      <c r="G26" s="101" t="s">
        <v>211</v>
      </c>
      <c r="H26" s="102" t="s">
        <v>195</v>
      </c>
      <c r="I26" s="102" t="s">
        <v>212</v>
      </c>
      <c r="J26" s="101" t="s">
        <v>213</v>
      </c>
      <c r="K26" s="103" t="n">
        <f aca="false">IF(B26="Yes",Overview!$C$5,0)</f>
        <v>20</v>
      </c>
      <c r="L26" s="98" t="s">
        <v>151</v>
      </c>
      <c r="M26" s="104" t="s">
        <v>175</v>
      </c>
    </row>
    <row r="27" customFormat="false" ht="45" hidden="false" customHeight="true" outlineLevel="0" collapsed="false">
      <c r="A27" s="111" t="n">
        <f aca="false">IF(B27="Yes",COUNTIF(B$6:B27,"Yes"),"—")</f>
        <v>14</v>
      </c>
      <c r="B27" s="98" t="s">
        <v>180</v>
      </c>
      <c r="C27" s="61" t="n">
        <f aca="false">IF(B27="Yes",Overview!$C$4+7*(COUNTIF(B$6:B27,"Yes")-1),"—")</f>
        <v>46398</v>
      </c>
      <c r="D27" s="61" t="n">
        <f aca="false">IF(B27="Yes",C27+6,"—")</f>
        <v>46404</v>
      </c>
      <c r="E27" s="112" t="s">
        <v>27</v>
      </c>
      <c r="F27" s="113" t="s">
        <v>103</v>
      </c>
      <c r="G27" s="101" t="s">
        <v>214</v>
      </c>
      <c r="H27" s="102" t="s">
        <v>192</v>
      </c>
      <c r="I27" s="102" t="s">
        <v>215</v>
      </c>
      <c r="J27" s="101" t="s">
        <v>216</v>
      </c>
      <c r="K27" s="103" t="n">
        <f aca="false">IF(B27="Yes",Overview!$C$5,0)</f>
        <v>20</v>
      </c>
      <c r="L27" s="98" t="s">
        <v>151</v>
      </c>
      <c r="M27" s="104"/>
    </row>
    <row r="28" customFormat="false" ht="57.75" hidden="false" customHeight="true" outlineLevel="0" collapsed="false">
      <c r="A28" s="111" t="n">
        <f aca="false">IF(B28="Yes",COUNTIF(B$6:B28,"Yes"),"—")</f>
        <v>15</v>
      </c>
      <c r="B28" s="98" t="s">
        <v>180</v>
      </c>
      <c r="C28" s="61" t="n">
        <f aca="false">IF(B28="Yes",Overview!$C$4+7*(COUNTIF(B$6:B28,"Yes")-1),"—")</f>
        <v>46405</v>
      </c>
      <c r="D28" s="61" t="n">
        <f aca="false">IF(B28="Yes",C28+6,"—")</f>
        <v>46411</v>
      </c>
      <c r="E28" s="112" t="s">
        <v>27</v>
      </c>
      <c r="F28" s="113" t="s">
        <v>103</v>
      </c>
      <c r="G28" s="101" t="s">
        <v>217</v>
      </c>
      <c r="H28" s="102" t="s">
        <v>172</v>
      </c>
      <c r="I28" s="102" t="s">
        <v>218</v>
      </c>
      <c r="J28" s="101" t="s">
        <v>216</v>
      </c>
      <c r="K28" s="103" t="n">
        <f aca="false">IF(B28="Yes",Overview!$C$5,0)</f>
        <v>20</v>
      </c>
      <c r="L28" s="98" t="s">
        <v>151</v>
      </c>
      <c r="M28" s="104"/>
    </row>
    <row r="29" customFormat="false" ht="45" hidden="false" customHeight="true" outlineLevel="0" collapsed="false">
      <c r="A29" s="111" t="n">
        <f aca="false">IF(B29="Yes",COUNTIF(B$6:B29,"Yes"),"—")</f>
        <v>16</v>
      </c>
      <c r="B29" s="98" t="s">
        <v>180</v>
      </c>
      <c r="C29" s="61" t="n">
        <f aca="false">IF(B29="Yes",Overview!$C$4+7*(COUNTIF(B$6:B29,"Yes")-1),"—")</f>
        <v>46412</v>
      </c>
      <c r="D29" s="61" t="n">
        <f aca="false">IF(B29="Yes",C29+6,"—")</f>
        <v>46418</v>
      </c>
      <c r="E29" s="112" t="s">
        <v>27</v>
      </c>
      <c r="F29" s="113" t="s">
        <v>103</v>
      </c>
      <c r="G29" s="101" t="s">
        <v>219</v>
      </c>
      <c r="H29" s="102" t="s">
        <v>195</v>
      </c>
      <c r="I29" s="102" t="s">
        <v>220</v>
      </c>
      <c r="J29" s="101" t="s">
        <v>216</v>
      </c>
      <c r="K29" s="103" t="n">
        <f aca="false">IF(B29="Yes",Overview!$C$5,0)</f>
        <v>20</v>
      </c>
      <c r="L29" s="98" t="s">
        <v>151</v>
      </c>
      <c r="M29" s="104"/>
    </row>
    <row r="30" customFormat="false" ht="70.5" hidden="false" customHeight="true" outlineLevel="0" collapsed="false">
      <c r="A30" s="111" t="n">
        <f aca="false">IF(B30="Yes",COUNTIF(B$6:B30,"Yes"),"—")</f>
        <v>17</v>
      </c>
      <c r="B30" s="98" t="s">
        <v>180</v>
      </c>
      <c r="C30" s="61" t="n">
        <f aca="false">IF(B30="Yes",Overview!$C$4+7*(COUNTIF(B$6:B30,"Yes")-1),"—")</f>
        <v>46419</v>
      </c>
      <c r="D30" s="61" t="n">
        <f aca="false">IF(B30="Yes",C30+6,"—")</f>
        <v>46425</v>
      </c>
      <c r="E30" s="112" t="s">
        <v>27</v>
      </c>
      <c r="F30" s="113" t="s">
        <v>103</v>
      </c>
      <c r="G30" s="101" t="s">
        <v>221</v>
      </c>
      <c r="H30" s="102" t="s">
        <v>192</v>
      </c>
      <c r="I30" s="102" t="s">
        <v>222</v>
      </c>
      <c r="J30" s="101" t="s">
        <v>223</v>
      </c>
      <c r="K30" s="103" t="n">
        <f aca="false">IF(B30="Yes",Overview!$C$5,0)</f>
        <v>20</v>
      </c>
      <c r="L30" s="98" t="s">
        <v>151</v>
      </c>
      <c r="M30" s="104"/>
    </row>
    <row r="31" customFormat="false" ht="70.5" hidden="false" customHeight="true" outlineLevel="0" collapsed="false">
      <c r="A31" s="114" t="n">
        <f aca="false">IF(B31="Yes",COUNTIF(B$6:B31,"Yes"),"—")</f>
        <v>18</v>
      </c>
      <c r="B31" s="98" t="s">
        <v>180</v>
      </c>
      <c r="C31" s="61" t="n">
        <f aca="false">IF(B31="Yes",Overview!$C$4+7*(COUNTIF(B$6:B31,"Yes")-1),"—")</f>
        <v>46426</v>
      </c>
      <c r="D31" s="61" t="n">
        <f aca="false">IF(B31="Yes",C31+6,"—")</f>
        <v>46432</v>
      </c>
      <c r="E31" s="115" t="s">
        <v>28</v>
      </c>
      <c r="F31" s="116" t="s">
        <v>104</v>
      </c>
      <c r="G31" s="101" t="s">
        <v>224</v>
      </c>
      <c r="H31" s="102" t="s">
        <v>225</v>
      </c>
      <c r="I31" s="102" t="s">
        <v>226</v>
      </c>
      <c r="J31" s="101" t="s">
        <v>227</v>
      </c>
      <c r="K31" s="103" t="n">
        <f aca="false">IF(B31="Yes",Overview!$C$5,0)</f>
        <v>20</v>
      </c>
      <c r="L31" s="98" t="s">
        <v>151</v>
      </c>
      <c r="M31" s="104" t="s">
        <v>175</v>
      </c>
    </row>
    <row r="32" customFormat="false" ht="84" hidden="false" customHeight="true" outlineLevel="0" collapsed="false">
      <c r="A32" s="114" t="n">
        <f aca="false">IF(B32="Yes",COUNTIF(B$6:B32,"Yes"),"—")</f>
        <v>19</v>
      </c>
      <c r="B32" s="98" t="s">
        <v>180</v>
      </c>
      <c r="C32" s="61" t="n">
        <f aca="false">IF(B32="Yes",Overview!$C$4+7*(COUNTIF(B$6:B32,"Yes")-1),"—")</f>
        <v>46433</v>
      </c>
      <c r="D32" s="61" t="n">
        <f aca="false">IF(B32="Yes",C32+6,"—")</f>
        <v>46439</v>
      </c>
      <c r="E32" s="115" t="s">
        <v>28</v>
      </c>
      <c r="F32" s="116" t="s">
        <v>104</v>
      </c>
      <c r="G32" s="101" t="s">
        <v>228</v>
      </c>
      <c r="H32" s="102" t="s">
        <v>229</v>
      </c>
      <c r="I32" s="102" t="s">
        <v>230</v>
      </c>
      <c r="J32" s="101" t="s">
        <v>231</v>
      </c>
      <c r="K32" s="103" t="n">
        <f aca="false">IF(B32="Yes",Overview!$C$5,0)</f>
        <v>20</v>
      </c>
      <c r="L32" s="98" t="s">
        <v>151</v>
      </c>
      <c r="M32" s="104" t="s">
        <v>175</v>
      </c>
    </row>
    <row r="33" customFormat="false" ht="57.75" hidden="false" customHeight="true" outlineLevel="0" collapsed="false">
      <c r="A33" s="117" t="n">
        <f aca="false">IF(B33="Yes",COUNTIF(B$6:B33,"Yes"),"—")</f>
        <v>20</v>
      </c>
      <c r="B33" s="98" t="s">
        <v>180</v>
      </c>
      <c r="C33" s="61" t="n">
        <f aca="false">IF(B33="Yes",Overview!$C$4+7*(COUNTIF(B$6:B33,"Yes")-1),"—")</f>
        <v>46440</v>
      </c>
      <c r="D33" s="61" t="n">
        <f aca="false">IF(B33="Yes",C33+6,"—")</f>
        <v>46446</v>
      </c>
      <c r="E33" s="118" t="s">
        <v>30</v>
      </c>
      <c r="F33" s="119" t="s">
        <v>105</v>
      </c>
      <c r="G33" s="101" t="s">
        <v>232</v>
      </c>
      <c r="H33" s="102" t="s">
        <v>153</v>
      </c>
      <c r="I33" s="102" t="s">
        <v>233</v>
      </c>
      <c r="J33" s="101" t="s">
        <v>234</v>
      </c>
      <c r="K33" s="103" t="n">
        <f aca="false">IF(B33="Yes",Overview!$C$5,0)</f>
        <v>20</v>
      </c>
      <c r="L33" s="98" t="s">
        <v>151</v>
      </c>
      <c r="M33" s="104" t="s">
        <v>175</v>
      </c>
    </row>
    <row r="34" customFormat="false" ht="70.5" hidden="false" customHeight="true" outlineLevel="0" collapsed="false">
      <c r="A34" s="117" t="n">
        <f aca="false">IF(B34="Yes",COUNTIF(B$6:B34,"Yes"),"—")</f>
        <v>21</v>
      </c>
      <c r="B34" s="98" t="s">
        <v>180</v>
      </c>
      <c r="C34" s="61" t="n">
        <f aca="false">IF(B34="Yes",Overview!$C$4+7*(COUNTIF(B$6:B34,"Yes")-1),"—")</f>
        <v>46447</v>
      </c>
      <c r="D34" s="61" t="n">
        <f aca="false">IF(B34="Yes",C34+6,"—")</f>
        <v>46453</v>
      </c>
      <c r="E34" s="118" t="s">
        <v>30</v>
      </c>
      <c r="F34" s="119" t="s">
        <v>105</v>
      </c>
      <c r="G34" s="101" t="s">
        <v>235</v>
      </c>
      <c r="H34" s="102" t="s">
        <v>236</v>
      </c>
      <c r="I34" s="102" t="s">
        <v>237</v>
      </c>
      <c r="J34" s="101" t="s">
        <v>234</v>
      </c>
      <c r="K34" s="103" t="n">
        <f aca="false">IF(B34="Yes",Overview!$C$5,0)</f>
        <v>20</v>
      </c>
      <c r="L34" s="98" t="s">
        <v>151</v>
      </c>
      <c r="M34" s="104" t="s">
        <v>175</v>
      </c>
    </row>
    <row r="35" customFormat="false" ht="70.5" hidden="false" customHeight="true" outlineLevel="0" collapsed="false">
      <c r="A35" s="117" t="n">
        <f aca="false">IF(B35="Yes",COUNTIF(B$6:B35,"Yes"),"—")</f>
        <v>22</v>
      </c>
      <c r="B35" s="98" t="s">
        <v>180</v>
      </c>
      <c r="C35" s="61" t="n">
        <f aca="false">IF(B35="Yes",Overview!$C$4+7*(COUNTIF(B$6:B35,"Yes")-1),"—")</f>
        <v>46454</v>
      </c>
      <c r="D35" s="61" t="n">
        <f aca="false">IF(B35="Yes",C35+6,"—")</f>
        <v>46460</v>
      </c>
      <c r="E35" s="118" t="s">
        <v>30</v>
      </c>
      <c r="F35" s="119" t="s">
        <v>105</v>
      </c>
      <c r="G35" s="101" t="s">
        <v>238</v>
      </c>
      <c r="H35" s="102" t="s">
        <v>239</v>
      </c>
      <c r="I35" s="102" t="s">
        <v>240</v>
      </c>
      <c r="J35" s="101" t="s">
        <v>241</v>
      </c>
      <c r="K35" s="103" t="n">
        <f aca="false">IF(B35="Yes",Overview!$C$5,0)</f>
        <v>20</v>
      </c>
      <c r="L35" s="98" t="s">
        <v>151</v>
      </c>
      <c r="M35" s="104" t="s">
        <v>175</v>
      </c>
    </row>
    <row r="36" customFormat="false" ht="70.5" hidden="false" customHeight="true" outlineLevel="0" collapsed="false">
      <c r="A36" s="117" t="n">
        <f aca="false">IF(B36="Yes",COUNTIF(B$6:B36,"Yes"),"—")</f>
        <v>23</v>
      </c>
      <c r="B36" s="98" t="s">
        <v>180</v>
      </c>
      <c r="C36" s="61" t="n">
        <f aca="false">IF(B36="Yes",Overview!$C$4+7*(COUNTIF(B$6:B36,"Yes")-1),"—")</f>
        <v>46461</v>
      </c>
      <c r="D36" s="61" t="n">
        <f aca="false">IF(B36="Yes",C36+6,"—")</f>
        <v>46467</v>
      </c>
      <c r="E36" s="118" t="s">
        <v>30</v>
      </c>
      <c r="F36" s="119" t="s">
        <v>106</v>
      </c>
      <c r="G36" s="101" t="s">
        <v>242</v>
      </c>
      <c r="H36" s="102" t="s">
        <v>243</v>
      </c>
      <c r="I36" s="102" t="s">
        <v>244</v>
      </c>
      <c r="J36" s="101" t="s">
        <v>245</v>
      </c>
      <c r="K36" s="103" t="n">
        <f aca="false">IF(B36="Yes",Overview!$C$5,0)</f>
        <v>20</v>
      </c>
      <c r="L36" s="98" t="s">
        <v>151</v>
      </c>
      <c r="M36" s="104" t="s">
        <v>175</v>
      </c>
    </row>
    <row r="37" customFormat="false" ht="70.5" hidden="false" customHeight="true" outlineLevel="0" collapsed="false">
      <c r="A37" s="117" t="n">
        <f aca="false">IF(B37="Yes",COUNTIF(B$6:B37,"Yes"),"—")</f>
        <v>24</v>
      </c>
      <c r="B37" s="98" t="s">
        <v>180</v>
      </c>
      <c r="C37" s="61" t="n">
        <f aca="false">IF(B37="Yes",Overview!$C$4+7*(COUNTIF(B$6:B37,"Yes")-1),"—")</f>
        <v>46468</v>
      </c>
      <c r="D37" s="61" t="n">
        <f aca="false">IF(B37="Yes",C37+6,"—")</f>
        <v>46474</v>
      </c>
      <c r="E37" s="118" t="s">
        <v>30</v>
      </c>
      <c r="F37" s="119" t="s">
        <v>106</v>
      </c>
      <c r="G37" s="101" t="s">
        <v>246</v>
      </c>
      <c r="H37" s="102" t="s">
        <v>247</v>
      </c>
      <c r="I37" s="102" t="s">
        <v>248</v>
      </c>
      <c r="J37" s="101" t="s">
        <v>249</v>
      </c>
      <c r="K37" s="103" t="n">
        <f aca="false">IF(B37="Yes",Overview!$C$5,0)</f>
        <v>20</v>
      </c>
      <c r="L37" s="98" t="s">
        <v>151</v>
      </c>
      <c r="M37" s="104" t="s">
        <v>175</v>
      </c>
    </row>
    <row r="38" customFormat="false" ht="43.5" hidden="false" customHeight="true" outlineLevel="0" collapsed="false">
      <c r="A38" s="117" t="n">
        <f aca="false">IF(B38="Yes",COUNTIF(B$6:B38,"Yes"),"—")</f>
        <v>25</v>
      </c>
      <c r="B38" s="98" t="s">
        <v>180</v>
      </c>
      <c r="C38" s="61" t="n">
        <f aca="false">IF(B38="Yes",Overview!$C$4+7*(COUNTIF(B$6:B38,"Yes")-1),"—")</f>
        <v>46475</v>
      </c>
      <c r="D38" s="61" t="n">
        <f aca="false">IF(B38="Yes",C38+6,"—")</f>
        <v>46481</v>
      </c>
      <c r="E38" s="118" t="s">
        <v>30</v>
      </c>
      <c r="F38" s="119" t="s">
        <v>107</v>
      </c>
      <c r="G38" s="101" t="s">
        <v>250</v>
      </c>
      <c r="H38" s="102" t="s">
        <v>243</v>
      </c>
      <c r="I38" s="102" t="s">
        <v>251</v>
      </c>
      <c r="J38" s="101" t="s">
        <v>252</v>
      </c>
      <c r="K38" s="103" t="n">
        <f aca="false">IF(B38="Yes",Overview!$C$5,0)</f>
        <v>20</v>
      </c>
      <c r="L38" s="98" t="s">
        <v>151</v>
      </c>
      <c r="M38" s="104" t="s">
        <v>175</v>
      </c>
    </row>
    <row r="39" customFormat="false" ht="45" hidden="false" customHeight="true" outlineLevel="0" collapsed="false">
      <c r="A39" s="117" t="n">
        <f aca="false">IF(B39="Yes",COUNTIF(B$6:B39,"Yes"),"—")</f>
        <v>26</v>
      </c>
      <c r="B39" s="98" t="s">
        <v>180</v>
      </c>
      <c r="C39" s="61" t="n">
        <f aca="false">IF(B39="Yes",Overview!$C$4+7*(COUNTIF(B$6:B39,"Yes")-1),"—")</f>
        <v>46482</v>
      </c>
      <c r="D39" s="61" t="n">
        <f aca="false">IF(B39="Yes",C39+6,"—")</f>
        <v>46488</v>
      </c>
      <c r="E39" s="118" t="s">
        <v>30</v>
      </c>
      <c r="F39" s="119" t="s">
        <v>107</v>
      </c>
      <c r="G39" s="101" t="s">
        <v>253</v>
      </c>
      <c r="H39" s="102" t="s">
        <v>153</v>
      </c>
      <c r="I39" s="102" t="s">
        <v>254</v>
      </c>
      <c r="J39" s="101" t="s">
        <v>252</v>
      </c>
      <c r="K39" s="103" t="n">
        <f aca="false">IF(B39="Yes",Overview!$C$5,0)</f>
        <v>20</v>
      </c>
      <c r="L39" s="98" t="s">
        <v>151</v>
      </c>
      <c r="M39" s="104" t="s">
        <v>175</v>
      </c>
    </row>
    <row r="40" customFormat="false" ht="57.75" hidden="false" customHeight="true" outlineLevel="0" collapsed="false">
      <c r="A40" s="117" t="n">
        <f aca="false">IF(B40="Yes",COUNTIF(B$6:B40,"Yes"),"—")</f>
        <v>27</v>
      </c>
      <c r="B40" s="98" t="s">
        <v>180</v>
      </c>
      <c r="C40" s="61" t="n">
        <f aca="false">IF(B40="Yes",Overview!$C$4+7*(COUNTIF(B$6:B40,"Yes")-1),"—")</f>
        <v>46489</v>
      </c>
      <c r="D40" s="61" t="n">
        <f aca="false">IF(B40="Yes",C40+6,"—")</f>
        <v>46495</v>
      </c>
      <c r="E40" s="118" t="s">
        <v>30</v>
      </c>
      <c r="F40" s="119" t="s">
        <v>107</v>
      </c>
      <c r="G40" s="101" t="s">
        <v>255</v>
      </c>
      <c r="H40" s="102" t="s">
        <v>256</v>
      </c>
      <c r="I40" s="102" t="s">
        <v>257</v>
      </c>
      <c r="J40" s="101" t="s">
        <v>258</v>
      </c>
      <c r="K40" s="103" t="n">
        <f aca="false">IF(B40="Yes",Overview!$C$5,0)</f>
        <v>20</v>
      </c>
      <c r="L40" s="98" t="s">
        <v>151</v>
      </c>
      <c r="M40" s="104" t="s">
        <v>175</v>
      </c>
    </row>
    <row r="41" customFormat="false" ht="45" hidden="false" customHeight="true" outlineLevel="0" collapsed="false">
      <c r="A41" s="117" t="n">
        <f aca="false">IF(B41="Yes",COUNTIF(B$6:B41,"Yes"),"—")</f>
        <v>28</v>
      </c>
      <c r="B41" s="98" t="s">
        <v>180</v>
      </c>
      <c r="C41" s="61" t="n">
        <f aca="false">IF(B41="Yes",Overview!$C$4+7*(COUNTIF(B$6:B41,"Yes")-1),"—")</f>
        <v>46496</v>
      </c>
      <c r="D41" s="61" t="n">
        <f aca="false">IF(B41="Yes",C41+6,"—")</f>
        <v>46502</v>
      </c>
      <c r="E41" s="118" t="s">
        <v>30</v>
      </c>
      <c r="F41" s="119" t="s">
        <v>108</v>
      </c>
      <c r="G41" s="101" t="s">
        <v>259</v>
      </c>
      <c r="H41" s="102" t="s">
        <v>260</v>
      </c>
      <c r="I41" s="102" t="s">
        <v>261</v>
      </c>
      <c r="J41" s="101" t="s">
        <v>262</v>
      </c>
      <c r="K41" s="103" t="n">
        <f aca="false">IF(B41="Yes",Overview!$C$5,0)</f>
        <v>20</v>
      </c>
      <c r="L41" s="98" t="s">
        <v>151</v>
      </c>
      <c r="M41" s="104" t="s">
        <v>175</v>
      </c>
    </row>
    <row r="42" customFormat="false" ht="70.5" hidden="false" customHeight="true" outlineLevel="0" collapsed="false">
      <c r="A42" s="117" t="n">
        <f aca="false">IF(B42="Yes",COUNTIF(B$6:B42,"Yes"),"—")</f>
        <v>29</v>
      </c>
      <c r="B42" s="98" t="s">
        <v>180</v>
      </c>
      <c r="C42" s="61" t="n">
        <f aca="false">IF(B42="Yes",Overview!$C$4+7*(COUNTIF(B$6:B42,"Yes")-1),"—")</f>
        <v>46503</v>
      </c>
      <c r="D42" s="61" t="n">
        <f aca="false">IF(B42="Yes",C42+6,"—")</f>
        <v>46509</v>
      </c>
      <c r="E42" s="118" t="s">
        <v>30</v>
      </c>
      <c r="F42" s="119" t="s">
        <v>108</v>
      </c>
      <c r="G42" s="101" t="s">
        <v>263</v>
      </c>
      <c r="H42" s="102" t="s">
        <v>264</v>
      </c>
      <c r="I42" s="102" t="s">
        <v>265</v>
      </c>
      <c r="J42" s="101" t="s">
        <v>262</v>
      </c>
      <c r="K42" s="103" t="n">
        <f aca="false">IF(B42="Yes",Overview!$C$5,0)</f>
        <v>20</v>
      </c>
      <c r="L42" s="98" t="s">
        <v>151</v>
      </c>
      <c r="M42" s="104" t="s">
        <v>175</v>
      </c>
    </row>
    <row r="43" customFormat="false" ht="57.75" hidden="false" customHeight="true" outlineLevel="0" collapsed="false">
      <c r="A43" s="117" t="n">
        <f aca="false">IF(B43="Yes",COUNTIF(B$6:B43,"Yes"),"—")</f>
        <v>30</v>
      </c>
      <c r="B43" s="98" t="s">
        <v>180</v>
      </c>
      <c r="C43" s="61" t="n">
        <f aca="false">IF(B43="Yes",Overview!$C$4+7*(COUNTIF(B$6:B43,"Yes")-1),"—")</f>
        <v>46510</v>
      </c>
      <c r="D43" s="61" t="n">
        <f aca="false">IF(B43="Yes",C43+6,"—")</f>
        <v>46516</v>
      </c>
      <c r="E43" s="118" t="s">
        <v>30</v>
      </c>
      <c r="F43" s="119" t="s">
        <v>108</v>
      </c>
      <c r="G43" s="101" t="s">
        <v>266</v>
      </c>
      <c r="H43" s="102" t="s">
        <v>267</v>
      </c>
      <c r="I43" s="102" t="s">
        <v>268</v>
      </c>
      <c r="J43" s="101" t="s">
        <v>269</v>
      </c>
      <c r="K43" s="103" t="n">
        <f aca="false">IF(B43="Yes",Overview!$C$5,0)</f>
        <v>20</v>
      </c>
      <c r="L43" s="98" t="s">
        <v>151</v>
      </c>
      <c r="M43" s="104" t="s">
        <v>175</v>
      </c>
    </row>
    <row r="44" customFormat="false" ht="57.75" hidden="false" customHeight="true" outlineLevel="0" collapsed="false">
      <c r="A44" s="117" t="n">
        <f aca="false">IF(B44="Yes",COUNTIF(B$6:B44,"Yes"),"—")</f>
        <v>31</v>
      </c>
      <c r="B44" s="98" t="s">
        <v>180</v>
      </c>
      <c r="C44" s="61" t="n">
        <f aca="false">IF(B44="Yes",Overview!$C$4+7*(COUNTIF(B$6:B44,"Yes")-1),"—")</f>
        <v>46517</v>
      </c>
      <c r="D44" s="61" t="n">
        <f aca="false">IF(B44="Yes",C44+6,"—")</f>
        <v>46523</v>
      </c>
      <c r="E44" s="118" t="s">
        <v>30</v>
      </c>
      <c r="F44" s="119" t="s">
        <v>109</v>
      </c>
      <c r="G44" s="101" t="s">
        <v>270</v>
      </c>
      <c r="H44" s="102" t="s">
        <v>271</v>
      </c>
      <c r="I44" s="102" t="s">
        <v>272</v>
      </c>
      <c r="J44" s="101" t="s">
        <v>273</v>
      </c>
      <c r="K44" s="103" t="n">
        <f aca="false">IF(B44="Yes",Overview!$C$5,0)</f>
        <v>20</v>
      </c>
      <c r="L44" s="98" t="s">
        <v>151</v>
      </c>
      <c r="M44" s="104" t="s">
        <v>274</v>
      </c>
    </row>
    <row r="45" customFormat="false" ht="70.5" hidden="false" customHeight="true" outlineLevel="0" collapsed="false">
      <c r="A45" s="117" t="n">
        <f aca="false">IF(B45="Yes",COUNTIF(B$6:B45,"Yes"),"—")</f>
        <v>32</v>
      </c>
      <c r="B45" s="98" t="s">
        <v>180</v>
      </c>
      <c r="C45" s="61" t="n">
        <f aca="false">IF(B45="Yes",Overview!$C$4+7*(COUNTIF(B$6:B45,"Yes")-1),"—")</f>
        <v>46524</v>
      </c>
      <c r="D45" s="61" t="n">
        <f aca="false">IF(B45="Yes",C45+6,"—")</f>
        <v>46530</v>
      </c>
      <c r="E45" s="118" t="s">
        <v>30</v>
      </c>
      <c r="F45" s="119" t="s">
        <v>109</v>
      </c>
      <c r="G45" s="101" t="s">
        <v>275</v>
      </c>
      <c r="H45" s="102" t="s">
        <v>276</v>
      </c>
      <c r="I45" s="102" t="s">
        <v>277</v>
      </c>
      <c r="J45" s="101" t="s">
        <v>273</v>
      </c>
      <c r="K45" s="103" t="n">
        <f aca="false">IF(B45="Yes",Overview!$C$5,0)</f>
        <v>20</v>
      </c>
      <c r="L45" s="98" t="s">
        <v>151</v>
      </c>
      <c r="M45" s="104" t="s">
        <v>274</v>
      </c>
    </row>
    <row r="46" customFormat="false" ht="84" hidden="false" customHeight="true" outlineLevel="0" collapsed="false">
      <c r="A46" s="117" t="n">
        <f aca="false">IF(B46="Yes",COUNTIF(B$6:B46,"Yes"),"—")</f>
        <v>33</v>
      </c>
      <c r="B46" s="98" t="s">
        <v>180</v>
      </c>
      <c r="C46" s="61" t="n">
        <f aca="false">IF(B46="Yes",Overview!$C$4+7*(COUNTIF(B$6:B46,"Yes")-1),"—")</f>
        <v>46531</v>
      </c>
      <c r="D46" s="61" t="n">
        <f aca="false">IF(B46="Yes",C46+6,"—")</f>
        <v>46537</v>
      </c>
      <c r="E46" s="118" t="s">
        <v>30</v>
      </c>
      <c r="F46" s="119" t="s">
        <v>109</v>
      </c>
      <c r="G46" s="101" t="s">
        <v>278</v>
      </c>
      <c r="H46" s="102" t="s">
        <v>279</v>
      </c>
      <c r="I46" s="102" t="s">
        <v>280</v>
      </c>
      <c r="J46" s="101" t="s">
        <v>281</v>
      </c>
      <c r="K46" s="103" t="n">
        <f aca="false">IF(B46="Yes",Overview!$C$5,0)</f>
        <v>20</v>
      </c>
      <c r="L46" s="98" t="s">
        <v>151</v>
      </c>
      <c r="M46" s="104" t="s">
        <v>274</v>
      </c>
    </row>
    <row r="47" customFormat="false" ht="84" hidden="false" customHeight="true" outlineLevel="0" collapsed="false">
      <c r="A47" s="120" t="n">
        <f aca="false">IF(B47="Yes",COUNTIF(B$6:B47,"Yes"),"—")</f>
        <v>34</v>
      </c>
      <c r="B47" s="98" t="s">
        <v>180</v>
      </c>
      <c r="C47" s="61" t="n">
        <f aca="false">IF(B47="Yes",Overview!$C$4+7*(COUNTIF(B$6:B47,"Yes")-1),"—")</f>
        <v>46538</v>
      </c>
      <c r="D47" s="61" t="n">
        <f aca="false">IF(B47="Yes",C47+6,"—")</f>
        <v>46544</v>
      </c>
      <c r="E47" s="121" t="s">
        <v>33</v>
      </c>
      <c r="F47" s="122" t="s">
        <v>110</v>
      </c>
      <c r="G47" s="101" t="s">
        <v>282</v>
      </c>
      <c r="H47" s="102" t="s">
        <v>283</v>
      </c>
      <c r="I47" s="102" t="s">
        <v>284</v>
      </c>
      <c r="J47" s="101" t="s">
        <v>285</v>
      </c>
      <c r="K47" s="103" t="n">
        <f aca="false">IF(B47="Yes",Overview!$C$5,0)</f>
        <v>20</v>
      </c>
      <c r="L47" s="98" t="s">
        <v>151</v>
      </c>
      <c r="M47" s="104" t="s">
        <v>274</v>
      </c>
    </row>
    <row r="48" customFormat="false" ht="70.5" hidden="false" customHeight="true" outlineLevel="0" collapsed="false">
      <c r="A48" s="120" t="n">
        <f aca="false">IF(B48="Yes",COUNTIF(B$6:B48,"Yes"),"—")</f>
        <v>35</v>
      </c>
      <c r="B48" s="98" t="s">
        <v>180</v>
      </c>
      <c r="C48" s="61" t="n">
        <f aca="false">IF(B48="Yes",Overview!$C$4+7*(COUNTIF(B$6:B48,"Yes")-1),"—")</f>
        <v>46545</v>
      </c>
      <c r="D48" s="61" t="n">
        <f aca="false">IF(B48="Yes",C48+6,"—")</f>
        <v>46551</v>
      </c>
      <c r="E48" s="121" t="s">
        <v>33</v>
      </c>
      <c r="F48" s="122" t="s">
        <v>110</v>
      </c>
      <c r="G48" s="101" t="s">
        <v>286</v>
      </c>
      <c r="H48" s="102" t="s">
        <v>287</v>
      </c>
      <c r="I48" s="102" t="s">
        <v>288</v>
      </c>
      <c r="J48" s="101" t="s">
        <v>285</v>
      </c>
      <c r="K48" s="103" t="n">
        <f aca="false">IF(B48="Yes",Overview!$C$5,0)</f>
        <v>20</v>
      </c>
      <c r="L48" s="98" t="s">
        <v>151</v>
      </c>
      <c r="M48" s="104" t="s">
        <v>274</v>
      </c>
    </row>
    <row r="49" customFormat="false" ht="70.5" hidden="false" customHeight="true" outlineLevel="0" collapsed="false">
      <c r="A49" s="120" t="n">
        <f aca="false">IF(B49="Yes",COUNTIF(B$6:B49,"Yes"),"—")</f>
        <v>36</v>
      </c>
      <c r="B49" s="98" t="s">
        <v>180</v>
      </c>
      <c r="C49" s="61" t="n">
        <f aca="false">IF(B49="Yes",Overview!$C$4+7*(COUNTIF(B$6:B49,"Yes")-1),"—")</f>
        <v>46552</v>
      </c>
      <c r="D49" s="61" t="n">
        <f aca="false">IF(B49="Yes",C49+6,"—")</f>
        <v>46558</v>
      </c>
      <c r="E49" s="121" t="s">
        <v>33</v>
      </c>
      <c r="F49" s="122" t="s">
        <v>110</v>
      </c>
      <c r="G49" s="101" t="s">
        <v>289</v>
      </c>
      <c r="H49" s="102" t="s">
        <v>290</v>
      </c>
      <c r="I49" s="102" t="s">
        <v>291</v>
      </c>
      <c r="J49" s="101" t="s">
        <v>285</v>
      </c>
      <c r="K49" s="103" t="n">
        <f aca="false">IF(B49="Yes",Overview!$C$5,0)</f>
        <v>20</v>
      </c>
      <c r="L49" s="98" t="s">
        <v>151</v>
      </c>
      <c r="M49" s="104" t="s">
        <v>274</v>
      </c>
    </row>
    <row r="50" customFormat="false" ht="70.5" hidden="false" customHeight="true" outlineLevel="0" collapsed="false">
      <c r="A50" s="120" t="n">
        <f aca="false">IF(B50="Yes",COUNTIF(B$6:B50,"Yes"),"—")</f>
        <v>37</v>
      </c>
      <c r="B50" s="98" t="s">
        <v>180</v>
      </c>
      <c r="C50" s="61" t="n">
        <f aca="false">IF(B50="Yes",Overview!$C$4+7*(COUNTIF(B$6:B50,"Yes")-1),"—")</f>
        <v>46559</v>
      </c>
      <c r="D50" s="61" t="n">
        <f aca="false">IF(B50="Yes",C50+6,"—")</f>
        <v>46565</v>
      </c>
      <c r="E50" s="121" t="s">
        <v>33</v>
      </c>
      <c r="F50" s="122" t="s">
        <v>110</v>
      </c>
      <c r="G50" s="101" t="s">
        <v>292</v>
      </c>
      <c r="H50" s="102" t="s">
        <v>283</v>
      </c>
      <c r="I50" s="102" t="s">
        <v>293</v>
      </c>
      <c r="J50" s="101" t="s">
        <v>294</v>
      </c>
      <c r="K50" s="103" t="n">
        <f aca="false">IF(B50="Yes",Overview!$C$5,0)</f>
        <v>20</v>
      </c>
      <c r="L50" s="98" t="s">
        <v>151</v>
      </c>
      <c r="M50" s="104" t="s">
        <v>274</v>
      </c>
    </row>
    <row r="51" customFormat="false" ht="43.5" hidden="false" customHeight="true" outlineLevel="0" collapsed="false">
      <c r="A51" s="123" t="n">
        <f aca="false">IF(B51="Yes",COUNTIF(B$6:B51,"Yes"),"—")</f>
        <v>38</v>
      </c>
      <c r="B51" s="98" t="s">
        <v>180</v>
      </c>
      <c r="C51" s="61" t="n">
        <f aca="false">IF(B51="Yes",Overview!$C$4+7*(COUNTIF(B$6:B51,"Yes")-1),"—")</f>
        <v>46566</v>
      </c>
      <c r="D51" s="61" t="n">
        <f aca="false">IF(B51="Yes",C51+6,"—")</f>
        <v>46572</v>
      </c>
      <c r="E51" s="124" t="s">
        <v>34</v>
      </c>
      <c r="F51" s="125" t="s">
        <v>111</v>
      </c>
      <c r="G51" s="101" t="s">
        <v>295</v>
      </c>
      <c r="H51" s="102" t="s">
        <v>256</v>
      </c>
      <c r="I51" s="102" t="s">
        <v>296</v>
      </c>
      <c r="J51" s="101" t="s">
        <v>297</v>
      </c>
      <c r="K51" s="103" t="n">
        <f aca="false">IF(B51="Yes",Overview!$C$5,0)</f>
        <v>20</v>
      </c>
      <c r="L51" s="98" t="s">
        <v>151</v>
      </c>
      <c r="M51" s="104"/>
    </row>
    <row r="52" customFormat="false" ht="57.75" hidden="false" customHeight="true" outlineLevel="0" collapsed="false">
      <c r="A52" s="123" t="n">
        <f aca="false">IF(B52="Yes",COUNTIF(B$6:B52,"Yes"),"—")</f>
        <v>39</v>
      </c>
      <c r="B52" s="98" t="s">
        <v>180</v>
      </c>
      <c r="C52" s="61" t="n">
        <f aca="false">IF(B52="Yes",Overview!$C$4+7*(COUNTIF(B$6:B52,"Yes")-1),"—")</f>
        <v>46573</v>
      </c>
      <c r="D52" s="61" t="n">
        <f aca="false">IF(B52="Yes",C52+6,"—")</f>
        <v>46579</v>
      </c>
      <c r="E52" s="124" t="s">
        <v>34</v>
      </c>
      <c r="F52" s="125" t="s">
        <v>111</v>
      </c>
      <c r="G52" s="101" t="s">
        <v>298</v>
      </c>
      <c r="H52" s="102" t="s">
        <v>299</v>
      </c>
      <c r="I52" s="102" t="s">
        <v>300</v>
      </c>
      <c r="J52" s="101" t="s">
        <v>301</v>
      </c>
      <c r="K52" s="103" t="n">
        <f aca="false">IF(B52="Yes",Overview!$C$5,0)</f>
        <v>20</v>
      </c>
      <c r="L52" s="98" t="s">
        <v>151</v>
      </c>
      <c r="M52" s="104"/>
    </row>
    <row r="53" customFormat="false" ht="43.5" hidden="false" customHeight="true" outlineLevel="0" collapsed="false">
      <c r="A53" s="126" t="str">
        <f aca="false">IF(B53="Yes",COUNTIF(B$6:B53,"Yes"),"—")</f>
        <v>—</v>
      </c>
      <c r="B53" s="98" t="s">
        <v>302</v>
      </c>
      <c r="C53" s="61" t="str">
        <f aca="false">IF(B53="Yes",Overview!$C$4+7*(COUNTIF(B$6:B53,"Yes")-1),"—")</f>
        <v>—</v>
      </c>
      <c r="D53" s="61" t="str">
        <f aca="false">IF(B53="Yes",C53+6,"—")</f>
        <v>—</v>
      </c>
      <c r="E53" s="127" t="s">
        <v>36</v>
      </c>
      <c r="F53" s="128" t="s">
        <v>112</v>
      </c>
      <c r="G53" s="101" t="s">
        <v>303</v>
      </c>
      <c r="H53" s="102" t="s">
        <v>304</v>
      </c>
      <c r="I53" s="102" t="s">
        <v>305</v>
      </c>
      <c r="J53" s="101" t="s">
        <v>306</v>
      </c>
      <c r="K53" s="103" t="n">
        <f aca="false">IF(B53="Yes",Overview!$C$5,0)</f>
        <v>0</v>
      </c>
      <c r="L53" s="98" t="s">
        <v>151</v>
      </c>
      <c r="M53" s="104"/>
    </row>
    <row r="54" customFormat="false" ht="43.5" hidden="false" customHeight="true" outlineLevel="0" collapsed="false">
      <c r="A54" s="126" t="str">
        <f aca="false">IF(B54="Yes",COUNTIF(B$6:B54,"Yes"),"—")</f>
        <v>—</v>
      </c>
      <c r="B54" s="98" t="s">
        <v>302</v>
      </c>
      <c r="C54" s="61" t="str">
        <f aca="false">IF(B54="Yes",Overview!$C$4+7*(COUNTIF(B$6:B54,"Yes")-1),"—")</f>
        <v>—</v>
      </c>
      <c r="D54" s="61" t="str">
        <f aca="false">IF(B54="Yes",C54+6,"—")</f>
        <v>—</v>
      </c>
      <c r="E54" s="127" t="s">
        <v>36</v>
      </c>
      <c r="F54" s="128" t="s">
        <v>112</v>
      </c>
      <c r="G54" s="101" t="s">
        <v>307</v>
      </c>
      <c r="H54" s="102" t="s">
        <v>308</v>
      </c>
      <c r="I54" s="102" t="s">
        <v>309</v>
      </c>
      <c r="J54" s="101" t="s">
        <v>306</v>
      </c>
      <c r="K54" s="103" t="n">
        <f aca="false">IF(B54="Yes",Overview!$C$5,0)</f>
        <v>0</v>
      </c>
      <c r="L54" s="98" t="s">
        <v>151</v>
      </c>
      <c r="M54" s="104"/>
    </row>
    <row r="55" customFormat="false" ht="43.5" hidden="false" customHeight="true" outlineLevel="0" collapsed="false">
      <c r="A55" s="126" t="str">
        <f aca="false">IF(B55="Yes",COUNTIF(B$6:B55,"Yes"),"—")</f>
        <v>—</v>
      </c>
      <c r="B55" s="98" t="s">
        <v>302</v>
      </c>
      <c r="C55" s="61" t="str">
        <f aca="false">IF(B55="Yes",Overview!$C$4+7*(COUNTIF(B$6:B55,"Yes")-1),"—")</f>
        <v>—</v>
      </c>
      <c r="D55" s="61" t="str">
        <f aca="false">IF(B55="Yes",C55+6,"—")</f>
        <v>—</v>
      </c>
      <c r="E55" s="127" t="s">
        <v>36</v>
      </c>
      <c r="F55" s="128" t="s">
        <v>112</v>
      </c>
      <c r="G55" s="101" t="s">
        <v>310</v>
      </c>
      <c r="H55" s="102" t="s">
        <v>311</v>
      </c>
      <c r="I55" s="102" t="s">
        <v>312</v>
      </c>
      <c r="J55" s="101" t="s">
        <v>306</v>
      </c>
      <c r="K55" s="103" t="n">
        <f aca="false">IF(B55="Yes",Overview!$C$5,0)</f>
        <v>0</v>
      </c>
      <c r="L55" s="98" t="s">
        <v>151</v>
      </c>
      <c r="M55" s="104"/>
    </row>
    <row r="56" customFormat="false" ht="43.5" hidden="false" customHeight="true" outlineLevel="0" collapsed="false">
      <c r="A56" s="126" t="str">
        <f aca="false">IF(B56="Yes",COUNTIF(B$6:B56,"Yes"),"—")</f>
        <v>—</v>
      </c>
      <c r="B56" s="98" t="s">
        <v>302</v>
      </c>
      <c r="C56" s="61" t="str">
        <f aca="false">IF(B56="Yes",Overview!$C$4+7*(COUNTIF(B$6:B56,"Yes")-1),"—")</f>
        <v>—</v>
      </c>
      <c r="D56" s="61" t="str">
        <f aca="false">IF(B56="Yes",C56+6,"—")</f>
        <v>—</v>
      </c>
      <c r="E56" s="127" t="s">
        <v>36</v>
      </c>
      <c r="F56" s="128" t="s">
        <v>112</v>
      </c>
      <c r="G56" s="101" t="s">
        <v>313</v>
      </c>
      <c r="H56" s="102" t="s">
        <v>304</v>
      </c>
      <c r="I56" s="102" t="s">
        <v>314</v>
      </c>
      <c r="J56" s="101" t="s">
        <v>315</v>
      </c>
      <c r="K56" s="103" t="n">
        <f aca="false">IF(B56="Yes",Overview!$C$5,0)</f>
        <v>0</v>
      </c>
      <c r="L56" s="98" t="s">
        <v>151</v>
      </c>
      <c r="M56" s="104"/>
    </row>
    <row r="57" customFormat="false" ht="43.5" hidden="false" customHeight="true" outlineLevel="0" collapsed="false">
      <c r="A57" s="126" t="str">
        <f aca="false">IF(B57="Yes",COUNTIF(B$6:B57,"Yes"),"—")</f>
        <v>—</v>
      </c>
      <c r="B57" s="98" t="s">
        <v>302</v>
      </c>
      <c r="C57" s="61" t="str">
        <f aca="false">IF(B57="Yes",Overview!$C$4+7*(COUNTIF(B$6:B57,"Yes")-1),"—")</f>
        <v>—</v>
      </c>
      <c r="D57" s="61" t="str">
        <f aca="false">IF(B57="Yes",C57+6,"—")</f>
        <v>—</v>
      </c>
      <c r="E57" s="127" t="s">
        <v>36</v>
      </c>
      <c r="F57" s="128" t="s">
        <v>113</v>
      </c>
      <c r="G57" s="101" t="s">
        <v>316</v>
      </c>
      <c r="H57" s="102" t="s">
        <v>192</v>
      </c>
      <c r="I57" s="102" t="s">
        <v>317</v>
      </c>
      <c r="J57" s="101" t="s">
        <v>318</v>
      </c>
      <c r="K57" s="103" t="n">
        <f aca="false">IF(B57="Yes",Overview!$C$5,0)</f>
        <v>0</v>
      </c>
      <c r="L57" s="98" t="s">
        <v>151</v>
      </c>
      <c r="M57" s="104"/>
    </row>
    <row r="58" customFormat="false" ht="43.5" hidden="false" customHeight="true" outlineLevel="0" collapsed="false">
      <c r="A58" s="126" t="str">
        <f aca="false">IF(B58="Yes",COUNTIF(B$6:B58,"Yes"),"—")</f>
        <v>—</v>
      </c>
      <c r="B58" s="98" t="s">
        <v>302</v>
      </c>
      <c r="C58" s="61" t="str">
        <f aca="false">IF(B58="Yes",Overview!$C$4+7*(COUNTIF(B$6:B58,"Yes")-1),"—")</f>
        <v>—</v>
      </c>
      <c r="D58" s="61" t="str">
        <f aca="false">IF(B58="Yes",C58+6,"—")</f>
        <v>—</v>
      </c>
      <c r="E58" s="127" t="s">
        <v>36</v>
      </c>
      <c r="F58" s="128" t="s">
        <v>113</v>
      </c>
      <c r="G58" s="101" t="s">
        <v>319</v>
      </c>
      <c r="H58" s="102" t="s">
        <v>172</v>
      </c>
      <c r="I58" s="102" t="s">
        <v>320</v>
      </c>
      <c r="J58" s="101" t="s">
        <v>318</v>
      </c>
      <c r="K58" s="103" t="n">
        <f aca="false">IF(B58="Yes",Overview!$C$5,0)</f>
        <v>0</v>
      </c>
      <c r="L58" s="98" t="s">
        <v>151</v>
      </c>
      <c r="M58" s="104"/>
    </row>
    <row r="59" customFormat="false" ht="43.5" hidden="false" customHeight="true" outlineLevel="0" collapsed="false">
      <c r="A59" s="126" t="str">
        <f aca="false">IF(B59="Yes",COUNTIF(B$6:B59,"Yes"),"—")</f>
        <v>—</v>
      </c>
      <c r="B59" s="98" t="s">
        <v>302</v>
      </c>
      <c r="C59" s="61" t="str">
        <f aca="false">IF(B59="Yes",Overview!$C$4+7*(COUNTIF(B$6:B59,"Yes")-1),"—")</f>
        <v>—</v>
      </c>
      <c r="D59" s="61" t="str">
        <f aca="false">IF(B59="Yes",C59+6,"—")</f>
        <v>—</v>
      </c>
      <c r="E59" s="127" t="s">
        <v>36</v>
      </c>
      <c r="F59" s="128" t="s">
        <v>113</v>
      </c>
      <c r="G59" s="101" t="s">
        <v>321</v>
      </c>
      <c r="H59" s="102" t="s">
        <v>195</v>
      </c>
      <c r="I59" s="102" t="s">
        <v>322</v>
      </c>
      <c r="J59" s="101" t="s">
        <v>318</v>
      </c>
      <c r="K59" s="103" t="n">
        <f aca="false">IF(B59="Yes",Overview!$C$5,0)</f>
        <v>0</v>
      </c>
      <c r="L59" s="98" t="s">
        <v>151</v>
      </c>
      <c r="M59" s="104"/>
    </row>
    <row r="60" customFormat="false" ht="45" hidden="false" customHeight="true" outlineLevel="0" collapsed="false">
      <c r="A60" s="126" t="str">
        <f aca="false">IF(B60="Yes",COUNTIF(B$6:B60,"Yes"),"—")</f>
        <v>—</v>
      </c>
      <c r="B60" s="98" t="s">
        <v>302</v>
      </c>
      <c r="C60" s="61" t="str">
        <f aca="false">IF(B60="Yes",Overview!$C$4+7*(COUNTIF(B$6:B60,"Yes")-1),"—")</f>
        <v>—</v>
      </c>
      <c r="D60" s="61" t="str">
        <f aca="false">IF(B60="Yes",C60+6,"—")</f>
        <v>—</v>
      </c>
      <c r="E60" s="127" t="s">
        <v>36</v>
      </c>
      <c r="F60" s="128" t="s">
        <v>113</v>
      </c>
      <c r="G60" s="101" t="s">
        <v>323</v>
      </c>
      <c r="H60" s="102" t="s">
        <v>192</v>
      </c>
      <c r="I60" s="102" t="s">
        <v>324</v>
      </c>
      <c r="J60" s="101" t="s">
        <v>325</v>
      </c>
      <c r="K60" s="103" t="n">
        <f aca="false">IF(B60="Yes",Overview!$C$5,0)</f>
        <v>0</v>
      </c>
      <c r="L60" s="98" t="s">
        <v>151</v>
      </c>
      <c r="M60" s="104"/>
    </row>
    <row r="61" customFormat="false" ht="43.5" hidden="false" customHeight="true" outlineLevel="0" collapsed="false">
      <c r="A61" s="126" t="str">
        <f aca="false">IF(B61="Yes",COUNTIF(B$6:B61,"Yes"),"—")</f>
        <v>—</v>
      </c>
      <c r="B61" s="98" t="s">
        <v>302</v>
      </c>
      <c r="C61" s="61" t="str">
        <f aca="false">IF(B61="Yes",Overview!$C$4+7*(COUNTIF(B$6:B61,"Yes")-1),"—")</f>
        <v>—</v>
      </c>
      <c r="D61" s="61" t="str">
        <f aca="false">IF(B61="Yes",C61+6,"—")</f>
        <v>—</v>
      </c>
      <c r="E61" s="127" t="s">
        <v>36</v>
      </c>
      <c r="F61" s="128" t="s">
        <v>114</v>
      </c>
      <c r="G61" s="101" t="s">
        <v>326</v>
      </c>
      <c r="H61" s="102" t="s">
        <v>327</v>
      </c>
      <c r="I61" s="102" t="s">
        <v>328</v>
      </c>
      <c r="J61" s="101" t="s">
        <v>329</v>
      </c>
      <c r="K61" s="103" t="n">
        <f aca="false">IF(B61="Yes",Overview!$C$5,0)</f>
        <v>0</v>
      </c>
      <c r="L61" s="98" t="s">
        <v>151</v>
      </c>
      <c r="M61" s="104"/>
    </row>
    <row r="62" customFormat="false" ht="45" hidden="false" customHeight="true" outlineLevel="0" collapsed="false">
      <c r="A62" s="126" t="str">
        <f aca="false">IF(B62="Yes",COUNTIF(B$6:B62,"Yes"),"—")</f>
        <v>—</v>
      </c>
      <c r="B62" s="98" t="s">
        <v>302</v>
      </c>
      <c r="C62" s="61" t="str">
        <f aca="false">IF(B62="Yes",Overview!$C$4+7*(COUNTIF(B$6:B62,"Yes")-1),"—")</f>
        <v>—</v>
      </c>
      <c r="D62" s="61" t="str">
        <f aca="false">IF(B62="Yes",C62+6,"—")</f>
        <v>—</v>
      </c>
      <c r="E62" s="127" t="s">
        <v>36</v>
      </c>
      <c r="F62" s="128" t="s">
        <v>114</v>
      </c>
      <c r="G62" s="101" t="s">
        <v>330</v>
      </c>
      <c r="H62" s="102" t="s">
        <v>304</v>
      </c>
      <c r="I62" s="102" t="s">
        <v>331</v>
      </c>
      <c r="J62" s="101" t="s">
        <v>329</v>
      </c>
      <c r="K62" s="103" t="n">
        <f aca="false">IF(B62="Yes",Overview!$C$5,0)</f>
        <v>0</v>
      </c>
      <c r="L62" s="98" t="s">
        <v>151</v>
      </c>
      <c r="M62" s="104"/>
    </row>
    <row r="63" customFormat="false" ht="45" hidden="false" customHeight="true" outlineLevel="0" collapsed="false">
      <c r="A63" s="126" t="str">
        <f aca="false">IF(B63="Yes",COUNTIF(B$6:B63,"Yes"),"—")</f>
        <v>—</v>
      </c>
      <c r="B63" s="98" t="s">
        <v>302</v>
      </c>
      <c r="C63" s="61" t="str">
        <f aca="false">IF(B63="Yes",Overview!$C$4+7*(COUNTIF(B$6:B63,"Yes")-1),"—")</f>
        <v>—</v>
      </c>
      <c r="D63" s="61" t="str">
        <f aca="false">IF(B63="Yes",C63+6,"—")</f>
        <v>—</v>
      </c>
      <c r="E63" s="127" t="s">
        <v>36</v>
      </c>
      <c r="F63" s="128" t="s">
        <v>114</v>
      </c>
      <c r="G63" s="101" t="s">
        <v>332</v>
      </c>
      <c r="H63" s="102" t="s">
        <v>308</v>
      </c>
      <c r="I63" s="102" t="s">
        <v>333</v>
      </c>
      <c r="J63" s="101" t="s">
        <v>329</v>
      </c>
      <c r="K63" s="103" t="n">
        <f aca="false">IF(B63="Yes",Overview!$C$5,0)</f>
        <v>0</v>
      </c>
      <c r="L63" s="98" t="s">
        <v>151</v>
      </c>
      <c r="M63" s="104"/>
    </row>
    <row r="64" customFormat="false" ht="45" hidden="false" customHeight="true" outlineLevel="0" collapsed="false">
      <c r="A64" s="126" t="str">
        <f aca="false">IF(B64="Yes",COUNTIF(B$6:B64,"Yes"),"—")</f>
        <v>—</v>
      </c>
      <c r="B64" s="98" t="s">
        <v>302</v>
      </c>
      <c r="C64" s="61" t="str">
        <f aca="false">IF(B64="Yes",Overview!$C$4+7*(COUNTIF(B$6:B64,"Yes")-1),"—")</f>
        <v>—</v>
      </c>
      <c r="D64" s="61" t="str">
        <f aca="false">IF(B64="Yes",C64+6,"—")</f>
        <v>—</v>
      </c>
      <c r="E64" s="127" t="s">
        <v>36</v>
      </c>
      <c r="F64" s="128" t="s">
        <v>114</v>
      </c>
      <c r="G64" s="101" t="s">
        <v>334</v>
      </c>
      <c r="H64" s="102" t="s">
        <v>327</v>
      </c>
      <c r="I64" s="102" t="s">
        <v>335</v>
      </c>
      <c r="J64" s="101" t="s">
        <v>329</v>
      </c>
      <c r="K64" s="103" t="n">
        <f aca="false">IF(B64="Yes",Overview!$C$5,0)</f>
        <v>0</v>
      </c>
      <c r="L64" s="98" t="s">
        <v>151</v>
      </c>
      <c r="M64" s="104"/>
    </row>
    <row r="65" customFormat="false" ht="45" hidden="false" customHeight="true" outlineLevel="0" collapsed="false">
      <c r="A65" s="126" t="str">
        <f aca="false">IF(B65="Yes",COUNTIF(B$6:B65,"Yes"),"—")</f>
        <v>—</v>
      </c>
      <c r="B65" s="98" t="s">
        <v>302</v>
      </c>
      <c r="C65" s="61" t="str">
        <f aca="false">IF(B65="Yes",Overview!$C$4+7*(COUNTIF(B$6:B65,"Yes")-1),"—")</f>
        <v>—</v>
      </c>
      <c r="D65" s="61" t="str">
        <f aca="false">IF(B65="Yes",C65+6,"—")</f>
        <v>—</v>
      </c>
      <c r="E65" s="127" t="s">
        <v>36</v>
      </c>
      <c r="F65" s="128" t="s">
        <v>114</v>
      </c>
      <c r="G65" s="101" t="s">
        <v>336</v>
      </c>
      <c r="H65" s="102" t="s">
        <v>304</v>
      </c>
      <c r="I65" s="102" t="s">
        <v>337</v>
      </c>
      <c r="J65" s="101" t="s">
        <v>329</v>
      </c>
      <c r="K65" s="103" t="n">
        <f aca="false">IF(B65="Yes",Overview!$C$5,0)</f>
        <v>0</v>
      </c>
      <c r="L65" s="98" t="s">
        <v>151</v>
      </c>
      <c r="M65" s="104"/>
    </row>
    <row r="66" customFormat="false" ht="57.75" hidden="false" customHeight="true" outlineLevel="0" collapsed="false">
      <c r="A66" s="126" t="str">
        <f aca="false">IF(B66="Yes",COUNTIF(B$6:B66,"Yes"),"—")</f>
        <v>—</v>
      </c>
      <c r="B66" s="98" t="s">
        <v>302</v>
      </c>
      <c r="C66" s="61" t="str">
        <f aca="false">IF(B66="Yes",Overview!$C$4+7*(COUNTIF(B$6:B66,"Yes")-1),"—")</f>
        <v>—</v>
      </c>
      <c r="D66" s="61" t="str">
        <f aca="false">IF(B66="Yes",C66+6,"—")</f>
        <v>—</v>
      </c>
      <c r="E66" s="127" t="s">
        <v>36</v>
      </c>
      <c r="F66" s="128" t="s">
        <v>114</v>
      </c>
      <c r="G66" s="101" t="s">
        <v>338</v>
      </c>
      <c r="H66" s="102" t="s">
        <v>308</v>
      </c>
      <c r="I66" s="102" t="s">
        <v>339</v>
      </c>
      <c r="J66" s="101" t="s">
        <v>340</v>
      </c>
      <c r="K66" s="103" t="n">
        <f aca="false">IF(B66="Yes",Overview!$C$5,0)</f>
        <v>0</v>
      </c>
      <c r="L66" s="98" t="s">
        <v>151</v>
      </c>
      <c r="M66" s="104"/>
    </row>
    <row r="67" customFormat="false" ht="43.5" hidden="false" customHeight="true" outlineLevel="0" collapsed="false">
      <c r="A67" s="126" t="str">
        <f aca="false">IF(B67="Yes",COUNTIF(B$6:B67,"Yes"),"—")</f>
        <v>—</v>
      </c>
      <c r="B67" s="98" t="s">
        <v>302</v>
      </c>
      <c r="C67" s="61" t="str">
        <f aca="false">IF(B67="Yes",Overview!$C$4+7*(COUNTIF(B$6:B67,"Yes")-1),"—")</f>
        <v>—</v>
      </c>
      <c r="D67" s="61" t="str">
        <f aca="false">IF(B67="Yes",C67+6,"—")</f>
        <v>—</v>
      </c>
      <c r="E67" s="127" t="s">
        <v>36</v>
      </c>
      <c r="F67" s="128" t="s">
        <v>115</v>
      </c>
      <c r="G67" s="101" t="s">
        <v>341</v>
      </c>
      <c r="H67" s="102" t="s">
        <v>342</v>
      </c>
      <c r="I67" s="102" t="s">
        <v>343</v>
      </c>
      <c r="J67" s="101" t="s">
        <v>344</v>
      </c>
      <c r="K67" s="103" t="n">
        <f aca="false">IF(B67="Yes",Overview!$C$5,0)</f>
        <v>0</v>
      </c>
      <c r="L67" s="98" t="s">
        <v>151</v>
      </c>
      <c r="M67" s="104"/>
    </row>
    <row r="68" customFormat="false" ht="43.5" hidden="false" customHeight="true" outlineLevel="0" collapsed="false">
      <c r="A68" s="126" t="str">
        <f aca="false">IF(B68="Yes",COUNTIF(B$6:B68,"Yes"),"—")</f>
        <v>—</v>
      </c>
      <c r="B68" s="98" t="s">
        <v>302</v>
      </c>
      <c r="C68" s="61" t="str">
        <f aca="false">IF(B68="Yes",Overview!$C$4+7*(COUNTIF(B$6:B68,"Yes")-1),"—")</f>
        <v>—</v>
      </c>
      <c r="D68" s="61" t="str">
        <f aca="false">IF(B68="Yes",C68+6,"—")</f>
        <v>—</v>
      </c>
      <c r="E68" s="127" t="s">
        <v>36</v>
      </c>
      <c r="F68" s="128" t="s">
        <v>115</v>
      </c>
      <c r="G68" s="101" t="s">
        <v>345</v>
      </c>
      <c r="H68" s="102" t="s">
        <v>346</v>
      </c>
      <c r="I68" s="102" t="s">
        <v>347</v>
      </c>
      <c r="J68" s="101" t="s">
        <v>344</v>
      </c>
      <c r="K68" s="103" t="n">
        <f aca="false">IF(B68="Yes",Overview!$C$5,0)</f>
        <v>0</v>
      </c>
      <c r="L68" s="98" t="s">
        <v>151</v>
      </c>
      <c r="M68" s="104"/>
    </row>
    <row r="69" customFormat="false" ht="43.5" hidden="false" customHeight="true" outlineLevel="0" collapsed="false">
      <c r="A69" s="126" t="str">
        <f aca="false">IF(B69="Yes",COUNTIF(B$6:B69,"Yes"),"—")</f>
        <v>—</v>
      </c>
      <c r="B69" s="98" t="s">
        <v>302</v>
      </c>
      <c r="C69" s="61" t="str">
        <f aca="false">IF(B69="Yes",Overview!$C$4+7*(COUNTIF(B$6:B69,"Yes")-1),"—")</f>
        <v>—</v>
      </c>
      <c r="D69" s="61" t="str">
        <f aca="false">IF(B69="Yes",C69+6,"—")</f>
        <v>—</v>
      </c>
      <c r="E69" s="127" t="s">
        <v>36</v>
      </c>
      <c r="F69" s="128" t="s">
        <v>115</v>
      </c>
      <c r="G69" s="101" t="s">
        <v>348</v>
      </c>
      <c r="H69" s="102" t="s">
        <v>290</v>
      </c>
      <c r="I69" s="102" t="s">
        <v>349</v>
      </c>
      <c r="J69" s="101" t="s">
        <v>344</v>
      </c>
      <c r="K69" s="103" t="n">
        <f aca="false">IF(B69="Yes",Overview!$C$5,0)</f>
        <v>0</v>
      </c>
      <c r="L69" s="98" t="s">
        <v>151</v>
      </c>
      <c r="M69" s="104"/>
    </row>
    <row r="70" customFormat="false" ht="43.5" hidden="false" customHeight="true" outlineLevel="0" collapsed="false">
      <c r="A70" s="126" t="str">
        <f aca="false">IF(B70="Yes",COUNTIF(B$6:B70,"Yes"),"—")</f>
        <v>—</v>
      </c>
      <c r="B70" s="98" t="s">
        <v>302</v>
      </c>
      <c r="C70" s="61" t="str">
        <f aca="false">IF(B70="Yes",Overview!$C$4+7*(COUNTIF(B$6:B70,"Yes")-1),"—")</f>
        <v>—</v>
      </c>
      <c r="D70" s="61" t="str">
        <f aca="false">IF(B70="Yes",C70+6,"—")</f>
        <v>—</v>
      </c>
      <c r="E70" s="127" t="s">
        <v>36</v>
      </c>
      <c r="F70" s="128" t="s">
        <v>115</v>
      </c>
      <c r="G70" s="101" t="s">
        <v>350</v>
      </c>
      <c r="H70" s="102" t="s">
        <v>342</v>
      </c>
      <c r="I70" s="102" t="s">
        <v>351</v>
      </c>
      <c r="J70" s="101" t="s">
        <v>344</v>
      </c>
      <c r="K70" s="103" t="n">
        <f aca="false">IF(B70="Yes",Overview!$C$5,0)</f>
        <v>0</v>
      </c>
      <c r="L70" s="98" t="s">
        <v>151</v>
      </c>
      <c r="M70" s="104"/>
    </row>
    <row r="71" customFormat="false" ht="43.5" hidden="false" customHeight="true" outlineLevel="0" collapsed="false">
      <c r="A71" s="126" t="str">
        <f aca="false">IF(B71="Yes",COUNTIF(B$6:B71,"Yes"),"—")</f>
        <v>—</v>
      </c>
      <c r="B71" s="98" t="s">
        <v>302</v>
      </c>
      <c r="C71" s="61" t="str">
        <f aca="false">IF(B71="Yes",Overview!$C$4+7*(COUNTIF(B$6:B71,"Yes")-1),"—")</f>
        <v>—</v>
      </c>
      <c r="D71" s="61" t="str">
        <f aca="false">IF(B71="Yes",C71+6,"—")</f>
        <v>—</v>
      </c>
      <c r="E71" s="127" t="s">
        <v>36</v>
      </c>
      <c r="F71" s="128" t="s">
        <v>115</v>
      </c>
      <c r="G71" s="101" t="s">
        <v>352</v>
      </c>
      <c r="H71" s="102" t="s">
        <v>346</v>
      </c>
      <c r="I71" s="102" t="s">
        <v>353</v>
      </c>
      <c r="J71" s="101" t="s">
        <v>344</v>
      </c>
      <c r="K71" s="103" t="n">
        <f aca="false">IF(B71="Yes",Overview!$C$5,0)</f>
        <v>0</v>
      </c>
      <c r="L71" s="98" t="s">
        <v>151</v>
      </c>
      <c r="M71" s="104"/>
    </row>
    <row r="72" customFormat="false" ht="45" hidden="false" customHeight="true" outlineLevel="0" collapsed="false">
      <c r="A72" s="126" t="str">
        <f aca="false">IF(B72="Yes",COUNTIF(B$6:B72,"Yes"),"—")</f>
        <v>—</v>
      </c>
      <c r="B72" s="98" t="s">
        <v>302</v>
      </c>
      <c r="C72" s="61" t="str">
        <f aca="false">IF(B72="Yes",Overview!$C$4+7*(COUNTIF(B$6:B72,"Yes")-1),"—")</f>
        <v>—</v>
      </c>
      <c r="D72" s="61" t="str">
        <f aca="false">IF(B72="Yes",C72+6,"—")</f>
        <v>—</v>
      </c>
      <c r="E72" s="127" t="s">
        <v>36</v>
      </c>
      <c r="F72" s="128" t="s">
        <v>115</v>
      </c>
      <c r="G72" s="101" t="s">
        <v>354</v>
      </c>
      <c r="H72" s="102" t="s">
        <v>290</v>
      </c>
      <c r="I72" s="102" t="s">
        <v>355</v>
      </c>
      <c r="J72" s="101" t="s">
        <v>344</v>
      </c>
      <c r="K72" s="103" t="n">
        <f aca="false">IF(B72="Yes",Overview!$C$5,0)</f>
        <v>0</v>
      </c>
      <c r="L72" s="98" t="s">
        <v>151</v>
      </c>
      <c r="M72" s="104"/>
    </row>
    <row r="73" customFormat="false" ht="43.5" hidden="false" customHeight="true" outlineLevel="0" collapsed="false">
      <c r="A73" s="126" t="str">
        <f aca="false">IF(B73="Yes",COUNTIF(B$6:B73,"Yes"),"—")</f>
        <v>—</v>
      </c>
      <c r="B73" s="98" t="s">
        <v>302</v>
      </c>
      <c r="C73" s="61" t="str">
        <f aca="false">IF(B73="Yes",Overview!$C$4+7*(COUNTIF(B$6:B73,"Yes")-1),"—")</f>
        <v>—</v>
      </c>
      <c r="D73" s="61" t="str">
        <f aca="false">IF(B73="Yes",C73+6,"—")</f>
        <v>—</v>
      </c>
      <c r="E73" s="127" t="s">
        <v>36</v>
      </c>
      <c r="F73" s="128" t="s">
        <v>115</v>
      </c>
      <c r="G73" s="101" t="s">
        <v>356</v>
      </c>
      <c r="H73" s="102" t="s">
        <v>342</v>
      </c>
      <c r="I73" s="102" t="s">
        <v>357</v>
      </c>
      <c r="J73" s="101" t="s">
        <v>344</v>
      </c>
      <c r="K73" s="103" t="n">
        <f aca="false">IF(B73="Yes",Overview!$C$5,0)</f>
        <v>0</v>
      </c>
      <c r="L73" s="98" t="s">
        <v>151</v>
      </c>
      <c r="M73" s="104"/>
    </row>
    <row r="74" customFormat="false" ht="43.5" hidden="false" customHeight="true" outlineLevel="0" collapsed="false">
      <c r="A74" s="126" t="str">
        <f aca="false">IF(B74="Yes",COUNTIF(B$6:B74,"Yes"),"—")</f>
        <v>—</v>
      </c>
      <c r="B74" s="98" t="s">
        <v>302</v>
      </c>
      <c r="C74" s="61" t="str">
        <f aca="false">IF(B74="Yes",Overview!$C$4+7*(COUNTIF(B$6:B74,"Yes")-1),"—")</f>
        <v>—</v>
      </c>
      <c r="D74" s="61" t="str">
        <f aca="false">IF(B74="Yes",C74+6,"—")</f>
        <v>—</v>
      </c>
      <c r="E74" s="127" t="s">
        <v>36</v>
      </c>
      <c r="F74" s="128" t="s">
        <v>115</v>
      </c>
      <c r="G74" s="101" t="s">
        <v>358</v>
      </c>
      <c r="H74" s="102" t="s">
        <v>346</v>
      </c>
      <c r="I74" s="102" t="s">
        <v>359</v>
      </c>
      <c r="J74" s="101" t="s">
        <v>360</v>
      </c>
      <c r="K74" s="103" t="n">
        <f aca="false">IF(B74="Yes",Overview!$C$5,0)</f>
        <v>0</v>
      </c>
      <c r="L74" s="98" t="s">
        <v>151</v>
      </c>
      <c r="M74" s="104"/>
    </row>
    <row r="75" customFormat="false" ht="43.5" hidden="false" customHeight="true" outlineLevel="0" collapsed="false">
      <c r="A75" s="126" t="str">
        <f aca="false">IF(B75="Yes",COUNTIF(B$6:B75,"Yes"),"—")</f>
        <v>—</v>
      </c>
      <c r="B75" s="98" t="s">
        <v>302</v>
      </c>
      <c r="C75" s="61" t="str">
        <f aca="false">IF(B75="Yes",Overview!$C$4+7*(COUNTIF(B$6:B75,"Yes")-1),"—")</f>
        <v>—</v>
      </c>
      <c r="D75" s="61" t="str">
        <f aca="false">IF(B75="Yes",C75+6,"—")</f>
        <v>—</v>
      </c>
      <c r="E75" s="127" t="s">
        <v>36</v>
      </c>
      <c r="F75" s="128" t="s">
        <v>116</v>
      </c>
      <c r="G75" s="101" t="s">
        <v>361</v>
      </c>
      <c r="H75" s="102" t="s">
        <v>362</v>
      </c>
      <c r="I75" s="102" t="s">
        <v>363</v>
      </c>
      <c r="J75" s="101" t="s">
        <v>364</v>
      </c>
      <c r="K75" s="103" t="n">
        <f aca="false">IF(B75="Yes",Overview!$C$5,0)</f>
        <v>0</v>
      </c>
      <c r="L75" s="98" t="s">
        <v>151</v>
      </c>
      <c r="M75" s="104"/>
    </row>
    <row r="76" customFormat="false" ht="43.5" hidden="false" customHeight="true" outlineLevel="0" collapsed="false">
      <c r="A76" s="126" t="str">
        <f aca="false">IF(B76="Yes",COUNTIF(B$6:B76,"Yes"),"—")</f>
        <v>—</v>
      </c>
      <c r="B76" s="98" t="s">
        <v>302</v>
      </c>
      <c r="C76" s="61" t="str">
        <f aca="false">IF(B76="Yes",Overview!$C$4+7*(COUNTIF(B$6:B76,"Yes")-1),"—")</f>
        <v>—</v>
      </c>
      <c r="D76" s="61" t="str">
        <f aca="false">IF(B76="Yes",C76+6,"—")</f>
        <v>—</v>
      </c>
      <c r="E76" s="127" t="s">
        <v>36</v>
      </c>
      <c r="F76" s="128" t="s">
        <v>116</v>
      </c>
      <c r="G76" s="101" t="s">
        <v>365</v>
      </c>
      <c r="H76" s="102" t="s">
        <v>366</v>
      </c>
      <c r="I76" s="102" t="s">
        <v>367</v>
      </c>
      <c r="J76" s="101" t="s">
        <v>364</v>
      </c>
      <c r="K76" s="103" t="n">
        <f aca="false">IF(B76="Yes",Overview!$C$5,0)</f>
        <v>0</v>
      </c>
      <c r="L76" s="98" t="s">
        <v>151</v>
      </c>
      <c r="M76" s="104"/>
    </row>
    <row r="77" customFormat="false" ht="43.5" hidden="false" customHeight="true" outlineLevel="0" collapsed="false">
      <c r="A77" s="126" t="str">
        <f aca="false">IF(B77="Yes",COUNTIF(B$6:B77,"Yes"),"—")</f>
        <v>—</v>
      </c>
      <c r="B77" s="98" t="s">
        <v>302</v>
      </c>
      <c r="C77" s="61" t="str">
        <f aca="false">IF(B77="Yes",Overview!$C$4+7*(COUNTIF(B$6:B77,"Yes")-1),"—")</f>
        <v>—</v>
      </c>
      <c r="D77" s="61" t="str">
        <f aca="false">IF(B77="Yes",C77+6,"—")</f>
        <v>—</v>
      </c>
      <c r="E77" s="127" t="s">
        <v>36</v>
      </c>
      <c r="F77" s="128" t="s">
        <v>116</v>
      </c>
      <c r="G77" s="101" t="s">
        <v>368</v>
      </c>
      <c r="H77" s="102" t="s">
        <v>369</v>
      </c>
      <c r="I77" s="102" t="s">
        <v>370</v>
      </c>
      <c r="J77" s="101" t="s">
        <v>364</v>
      </c>
      <c r="K77" s="103" t="n">
        <f aca="false">IF(B77="Yes",Overview!$C$5,0)</f>
        <v>0</v>
      </c>
      <c r="L77" s="98" t="s">
        <v>151</v>
      </c>
      <c r="M77" s="104"/>
    </row>
    <row r="78" customFormat="false" ht="45" hidden="false" customHeight="true" outlineLevel="0" collapsed="false">
      <c r="A78" s="126" t="str">
        <f aca="false">IF(B78="Yes",COUNTIF(B$6:B78,"Yes"),"—")</f>
        <v>—</v>
      </c>
      <c r="B78" s="98" t="s">
        <v>302</v>
      </c>
      <c r="C78" s="61" t="str">
        <f aca="false">IF(B78="Yes",Overview!$C$4+7*(COUNTIF(B$6:B78,"Yes")-1),"—")</f>
        <v>—</v>
      </c>
      <c r="D78" s="61" t="str">
        <f aca="false">IF(B78="Yes",C78+6,"—")</f>
        <v>—</v>
      </c>
      <c r="E78" s="127" t="s">
        <v>36</v>
      </c>
      <c r="F78" s="128" t="s">
        <v>116</v>
      </c>
      <c r="G78" s="101" t="s">
        <v>371</v>
      </c>
      <c r="H78" s="102" t="s">
        <v>362</v>
      </c>
      <c r="I78" s="102" t="s">
        <v>372</v>
      </c>
      <c r="J78" s="101" t="s">
        <v>373</v>
      </c>
      <c r="K78" s="103" t="n">
        <f aca="false">IF(B78="Yes",Overview!$C$5,0)</f>
        <v>0</v>
      </c>
      <c r="L78" s="98" t="s">
        <v>151</v>
      </c>
      <c r="M78" s="104"/>
    </row>
  </sheetData>
  <autoFilter ref="A5:M78"/>
  <mergeCells count="3">
    <mergeCell ref="A1:M1"/>
    <mergeCell ref="A2:M2"/>
    <mergeCell ref="A3:M3"/>
  </mergeCells>
  <conditionalFormatting sqref="A6:M78">
    <cfRule type="expression" priority="2" aboveAverage="0" equalAverage="0" bottom="0" percent="0" rank="0" text="" dxfId="36">
      <formula>$B6="No"</formula>
    </cfRule>
  </conditionalFormatting>
  <conditionalFormatting sqref="L6:L78">
    <cfRule type="expression" priority="3" aboveAverage="0" equalAverage="0" bottom="0" percent="0" rank="0" text="" dxfId="37">
      <formula>$L6="Done"</formula>
    </cfRule>
    <cfRule type="expression" priority="4" aboveAverage="0" equalAverage="0" bottom="0" percent="0" rank="0" text="" dxfId="38">
      <formula>$L6="In Progress"</formula>
    </cfRule>
    <cfRule type="expression" priority="5" aboveAverage="0" equalAverage="0" bottom="0" percent="0" rank="0" text="" dxfId="39">
      <formula>$L6="Not Started"</formula>
    </cfRule>
  </conditionalFormatting>
  <conditionalFormatting sqref="B6:M78">
    <cfRule type="expression" priority="6" aboveAverage="0" equalAverage="0" bottom="0" percent="0" rank="0" text="" dxfId="40">
      <formula>$L6="Done"</formula>
    </cfRule>
    <cfRule type="expression" priority="7" aboveAverage="0" equalAverage="0" bottom="0" percent="0" rank="0" text="" dxfId="41">
      <formula>$L6="In Progress"</formula>
    </cfRule>
  </conditionalFormatting>
  <dataValidations count="2">
    <dataValidation allowBlank="false" errorStyle="stop" operator="between" showDropDown="false" showErrorMessage="false" showInputMessage="false" sqref="B6:B78" type="list">
      <formula1>"Yes,No"</formula1>
      <formula2>0</formula2>
    </dataValidation>
    <dataValidation allowBlank="false" errorStyle="stop" operator="between" showDropDown="false" showErrorMessage="false" showInputMessage="false" sqref="L6:L78" type="list">
      <formula1>"Not Started,In Progress,Done"</formula1>
      <formula2>0</formula2>
    </dataValidation>
  </dataValidations>
  <hyperlinks>
    <hyperlink ref="H6" r:id="rId1" display="📖 freeCodeCamp Learn"/>
    <hyperlink ref="I6" r:id="rId2" display="▶ Programming foundations &amp; AI aware…"/>
    <hyperlink ref="H7" r:id="rId3" display="📖 Java tutorials (dev.java)"/>
    <hyperlink ref="I7" r:id="rId4" display="▶ Data types 1 &amp; 2 + reading inputs"/>
    <hyperlink ref="H8" r:id="rId5" display="📖 GeeksforGeeks"/>
    <hyperlink ref="I8" r:id="rId6" display="▶ Loops &amp; iteration analysis by AI"/>
    <hyperlink ref="H9" r:id="rId7" display="📖 freeCodeCamp Learn"/>
    <hyperlink ref="I9" r:id="rId8" display="▶ More problems on loops &amp; patterns"/>
    <hyperlink ref="H10" r:id="rId9" display="📖 freeCodeCamp Learn"/>
    <hyperlink ref="I10" r:id="rId10" display="▶ designing code with AI"/>
    <hyperlink ref="H11" r:id="rId11" display="📖 Java tutorials (dev.java)"/>
    <hyperlink ref="I11" r:id="rId12" display="▶ Introduction to strings"/>
    <hyperlink ref="H12" r:id="rId13" display="📖 GeeksforGeeks"/>
    <hyperlink ref="I12" r:id="rId14" display="▶ 2D arrays 1 + labs 1 &amp; 2"/>
    <hyperlink ref="H13" r:id="rId15" display="📖 freeCodeCamp Learn"/>
    <hyperlink ref="I13" r:id="rId16" display="▶ Maths basics &amp; calculating iterati…"/>
    <hyperlink ref="H14" r:id="rId17" display="📖 NeetCode roadmap"/>
    <hyperlink ref="I14" r:id="rId18" display="▶ Time complexity"/>
    <hyperlink ref="H15" r:id="rId19" display="📖 GeeksforGeeks DSA"/>
    <hyperlink ref="I15" r:id="rId20" display="▶ memory management &amp; sorting basics"/>
    <hyperlink ref="H16" r:id="rId21" display="📖 n8n docs"/>
    <hyperlink ref="I16" r:id="rId22" display="▶ GenAI world &amp; LLM landscape"/>
    <hyperlink ref="H17" r:id="rId23" display="📖 Prompt engineering guide (Anthropic)"/>
    <hyperlink ref="I17" r:id="rId24" display="▶ n8n automation workflow"/>
    <hyperlink ref="H18" r:id="rId25" display="📖 GeeksforGeeks DSA"/>
    <hyperlink ref="I18" r:id="rId26" display="▶ Time complexity"/>
    <hyperlink ref="H19" r:id="rId27" display="📖 CP-Algorithms"/>
    <hyperlink ref="I19" r:id="rId28" display="▶ Bit manipulation + lab"/>
    <hyperlink ref="H20" r:id="rId29" display="📖 LeetCode problems"/>
    <hyperlink ref="I20" r:id="rId30" display="▶ count sort &amp; merge sort"/>
    <hyperlink ref="H21" r:id="rId31" display="📖 GeeksforGeeks DSA"/>
    <hyperlink ref="I21" r:id="rId32" display="▶ binary search on array"/>
    <hyperlink ref="H22" r:id="rId33" display="📖 NeetCode roadmap"/>
    <hyperlink ref="I22" r:id="rId34" display="▶ basic problems"/>
    <hyperlink ref="H23" r:id="rId35" display="📖 LeetCode problems"/>
    <hyperlink ref="I23" r:id="rId36" display="▶ Trees 2: BST"/>
    <hyperlink ref="H24" r:id="rId37" display="📖 GeeksforGeeks DSA"/>
    <hyperlink ref="I24" r:id="rId38" display="▶ combinatorics basics &amp; prime numbe…"/>
    <hyperlink ref="H25" r:id="rId39" display="📖 CP-Algorithms"/>
    <hyperlink ref="I25" r:id="rId40" display="▶ sorting &amp; problems"/>
    <hyperlink ref="H26" r:id="rId41" display="📖 LeetCode problems"/>
    <hyperlink ref="I26" r:id="rId42" display="▶ Binary trees 2"/>
    <hyperlink ref="H27" r:id="rId43" display="📖 CP-Algorithms"/>
    <hyperlink ref="I27" r:id="rId44" display="▶ introduction"/>
    <hyperlink ref="H28" r:id="rId45" display="📖 NeetCode roadmap"/>
    <hyperlink ref="I28" r:id="rId46" display="▶ one-dimensional"/>
    <hyperlink ref="H29" r:id="rId47" display="📖 LeetCode problems"/>
    <hyperlink ref="I29" r:id="rId48" display="▶ Graphs 2: BFS &amp; MST"/>
    <hyperlink ref="H30" r:id="rId49" display="📖 CP-Algorithms"/>
    <hyperlink ref="I30" r:id="rId50" display="▶ Revision of DSA 3 &amp; 4"/>
    <hyperlink ref="H31" r:id="rId51" display="📖 SQLBolt interactive"/>
    <hyperlink ref="I31" r:id="rId52" display="▶ Intro to DBMS &amp; keys"/>
    <hyperlink ref="H32" r:id="rId53" display="📖 W3Schools SQL"/>
    <hyperlink ref="I32" r:id="rId54" display="▶ Subqueries &amp; views"/>
    <hyperlink ref="H33" r:id="rId55" display="📖 Java tutorials (dev.java)"/>
    <hyperlink ref="I33" r:id="rId56" display="▶ Intro to LLD for scalable &amp; AI-rea…"/>
    <hyperlink ref="H34" r:id="rId57" display="📖 Oracle: Java concurrency"/>
    <hyperlink ref="I34" r:id="rId58" display="▶ interfaces &amp; abstract classes"/>
    <hyperlink ref="H35" r:id="rId59" display="📖 Refactoring Guru"/>
    <hyperlink ref="I35" r:id="rId60" display="▶ Java advanced 1: generics"/>
    <hyperlink ref="H36" r:id="rId61" display="📖 Refactoring Guru patterns"/>
    <hyperlink ref="I36" r:id="rId62" display="▶ SOLID principles with AI integrati…"/>
    <hyperlink ref="H37" r:id="rId63" display="📖 Refactoring Guru SOLID"/>
    <hyperlink ref="I37" r:id="rId64" display="▶ Adapter &amp; Facade"/>
    <hyperlink ref="H38" r:id="rId65" display="📖 Refactoring Guru patterns"/>
    <hyperlink ref="I38" r:id="rId66" display="▶ How to approach design problems"/>
    <hyperlink ref="H39" r:id="rId67" display="📖 Java tutorials (dev.java)"/>
    <hyperlink ref="I39" r:id="rId68" display="▶ Design + code Parking Lot"/>
    <hyperlink ref="H40" r:id="rId69" display="📖 InterviewBit"/>
    <hyperlink ref="I40" r:id="rId70" display="▶ Design Splitwise"/>
    <hyperlink ref="H41" r:id="rId71" display="📖 Spring guides"/>
    <hyperlink ref="I41" r:id="rId72" display="▶ Intro to backend systems &amp; AI-augm…"/>
    <hyperlink ref="H42" r:id="rId73" display="📖 Git book"/>
    <hyperlink ref="I42" r:id="rId74" display="▶ MVC, requests in Spring &amp; first mi…"/>
    <hyperlink ref="H43" r:id="rId75" display="📖 JWT intro"/>
    <hyperlink ref="I43" r:id="rId76" display="▶ Unit testing &amp; good practices (AI-…"/>
    <hyperlink ref="H44" r:id="rId77" display="📖 Spring Boot docs"/>
    <hyperlink ref="I44" r:id="rId78" display="▶ RestTemplate, resilience &amp; handlin…"/>
    <hyperlink ref="H45" r:id="rId79" display="📖 Docker get started"/>
    <hyperlink ref="I45" r:id="rId80" display="▶ JWT generation &amp; validation"/>
    <hyperlink ref="H46" r:id="rId81" display="📖 AWS getting started"/>
    <hyperlink ref="I46" r:id="rId82" display="▶ Stripe PG &amp; reconciliation"/>
    <hyperlink ref="H47" r:id="rId83" display="📖 System Design Primer"/>
    <hyperlink ref="I47" r:id="rId84" display="▶ System design foundations &amp; modern…"/>
    <hyperlink ref="H48" r:id="rId85" display="📖 High Scalability"/>
    <hyperlink ref="I48" r:id="rId86" display="▶ CAP / PACELC + master-slave replic…"/>
    <hyperlink ref="H49" r:id="rId87" display="📖 Kafka docs"/>
    <hyperlink ref="I49" r:id="rId88" display="▶ LSM tree &amp; multi-master"/>
    <hyperlink ref="H50" r:id="rId89" display="📖 System Design Primer"/>
    <hyperlink ref="I50" r:id="rId90" display="▶ Uber (nearest-neighbour search)"/>
    <hyperlink ref="H51" r:id="rId91" display="📖 InterviewBit"/>
    <hyperlink ref="I51" r:id="rId92" display="▶ problem solving &amp; thinking under p…"/>
    <hyperlink ref="H52" r:id="rId93" display="📖 LeetCode"/>
    <hyperlink ref="I52" r:id="rId94" display="▶ structuring scalable solutions"/>
    <hyperlink ref="H53" r:id="rId95" display="📖 OpenAI docs"/>
    <hyperlink ref="I53" r:id="rId96" display="▶ Intro to LLMs for backend engineer…"/>
    <hyperlink ref="H54" r:id="rId97" display="📖 Anthropic docs"/>
    <hyperlink ref="I54" r:id="rId98" display="▶ Build BookMyShow chat agent 1, 2 &amp;…"/>
    <hyperlink ref="H55" r:id="rId99" display="📖 LangChain docs"/>
    <hyperlink ref="I55" r:id="rId100" display="▶ Build Splitwise AI receipt process…"/>
    <hyperlink ref="H56" r:id="rId101" display="📖 OpenAI docs"/>
    <hyperlink ref="I56" r:id="rId102" display="▶ Backend capstone project contest"/>
    <hyperlink ref="H57" r:id="rId103" display="📖 CP-Algorithms"/>
    <hyperlink ref="I57" r:id="rId104" display="▶ Townhall + revision of DSA topics"/>
    <hyperlink ref="H58" r:id="rId105" display="📖 NeetCode roadmap"/>
    <hyperlink ref="I58" r:id="rId106" display="▶ famous problems"/>
    <hyperlink ref="H59" r:id="rId107" display="📖 LeetCode problems"/>
    <hyperlink ref="I59" r:id="rId108" display="▶ String pattern matching"/>
    <hyperlink ref="H60" r:id="rId109" display="📖 CP-Algorithms"/>
    <hyperlink ref="I60" r:id="rId110" display="▶ bipartite, Bellman-Ford &amp; Floyd-Wa…"/>
    <hyperlink ref="H61" r:id="rId111" display="📖 Hugging Face learn"/>
    <hyperlink ref="I61" r:id="rId112" display="▶ Intro to AI engineering"/>
    <hyperlink ref="H62" r:id="rId113" display="📖 OpenAI docs"/>
    <hyperlink ref="I62" r:id="rId114" display="▶ Text generation &amp; LLM APIs (OpenAI…"/>
    <hyperlink ref="H63" r:id="rId115" display="📖 Anthropic docs"/>
    <hyperlink ref="I63" r:id="rId116" display="▶ RAG introduction"/>
    <hyperlink ref="H64" r:id="rId117" display="📖 Hugging Face learn"/>
    <hyperlink ref="I64" r:id="rId118" display="▶ foundations &amp; planning"/>
    <hyperlink ref="H65" r:id="rId119" display="📖 OpenAI docs"/>
    <hyperlink ref="I65" r:id="rId120" display="▶ Fine-tuning existing models"/>
    <hyperlink ref="H66" r:id="rId121" display="📖 Anthropic docs"/>
    <hyperlink ref="I66" r:id="rId122" display="▶ Model quantization techniques"/>
    <hyperlink ref="H67" r:id="rId123" display="📖 Apache Spark docs"/>
    <hyperlink ref="I67" r:id="rId124" display="▶ Intro to data engineering"/>
    <hyperlink ref="H68" r:id="rId125" display="📖 Apache Hive"/>
    <hyperlink ref="I68" r:id="rId126" display="▶ Writing efficient queries 1 &amp; 2"/>
    <hyperlink ref="H69" r:id="rId127" display="📖 Kafka docs"/>
    <hyperlink ref="I69" r:id="rId128" display="▶ Intro to Hive &amp; advanced Hive"/>
    <hyperlink ref="H70" r:id="rId129" display="📖 Apache Spark docs"/>
    <hyperlink ref="I70" r:id="rId130" display="▶ PySpark &amp; PySpark operations"/>
    <hyperlink ref="H71" r:id="rId131" display="📖 Apache Hive"/>
    <hyperlink ref="I71" r:id="rId132" display="▶ bringing it all together"/>
    <hyperlink ref="H72" r:id="rId133" display="📖 Kafka docs"/>
    <hyperlink ref="I72" r:id="rId134" display="▶ Modern data architectures &amp; AWS se…"/>
    <hyperlink ref="H73" r:id="rId135" display="📖 Apache Spark docs"/>
    <hyperlink ref="I73" r:id="rId136" display="▶ Orchestrating data pipelines (2 se…"/>
    <hyperlink ref="H74" r:id="rId137" display="📖 Apache Hive"/>
    <hyperlink ref="I74" r:id="rId138" display="▶ Data pillars"/>
    <hyperlink ref="H75" r:id="rId139" display="📖 Atlassian PM guide"/>
    <hyperlink ref="I75" r:id="rId140" display="▶ product management"/>
    <hyperlink ref="H76" r:id="rId141" display="📖 Product School blog"/>
    <hyperlink ref="I76" r:id="rId142" display="▶ Understanding the product lifecycl…"/>
    <hyperlink ref="H77" r:id="rId143" display="📖 Mind the Product"/>
    <hyperlink ref="I77" r:id="rId144" display="▶ Market structure analysis &amp; its te…"/>
    <hyperlink ref="H78" r:id="rId145" display="📖 Atlassian PM guide"/>
    <hyperlink ref="I78" r:id="rId146" display="▶ Concept development, validation &amp; …"/>
  </hyperlinks>
  <printOptions headings="false" gridLines="false" gridLinesSet="true" horizontalCentered="false" verticalCentered="false"/>
  <pageMargins left="0.4" right="0.4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Developed by Rajesh Kumar Singh</oddFooter>
  </headerFooter>
  <drawing r:id="rId147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9488"/>
    <pageSetUpPr fitToPage="true"/>
  </sheetPr>
  <dimension ref="A1:M7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30"/>
    <col collapsed="false" customWidth="true" hidden="false" outlineLevel="0" max="7" min="7" style="0" width="56"/>
    <col collapsed="false" customWidth="true" hidden="false" outlineLevel="0" max="8" min="8" style="0" width="26"/>
    <col collapsed="false" customWidth="true" hidden="false" outlineLevel="0" max="9" min="9" style="0" width="22"/>
    <col collapsed="false" customWidth="true" hidden="false" outlineLevel="0" max="10" min="10" style="0" width="44"/>
    <col collapsed="false" customWidth="true" hidden="false" outlineLevel="0" max="11" min="11" style="0" width="8"/>
    <col collapsed="false" customWidth="true" hidden="false" outlineLevel="0" max="12" min="12" style="0" width="13"/>
    <col collapsed="false" customWidth="true" hidden="false" outlineLevel="0" max="13" min="13" style="0" width="26"/>
  </cols>
  <sheetData>
    <row r="1" customFormat="false" ht="42" hidden="false" customHeight="true" outlineLevel="0" collapsed="false">
      <c r="A1" s="57" t="s">
        <v>374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 customFormat="false" ht="24" hidden="false" customHeight="true" outlineLevel="0" collapsed="false">
      <c r="A2" s="4" t="s">
        <v>375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customFormat="false" ht="21.75" hidden="false" customHeight="true" outlineLevel="0" collapsed="false">
      <c r="A3" s="52" t="s">
        <v>135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</row>
    <row r="4" customFormat="false" ht="6" hidden="false" customHeight="true" outlineLevel="0" collapsed="false"/>
    <row r="5" customFormat="false" ht="37.5" hidden="false" customHeight="true" outlineLevel="0" collapsed="false">
      <c r="A5" s="34" t="s">
        <v>136</v>
      </c>
      <c r="B5" s="34" t="s">
        <v>137</v>
      </c>
      <c r="C5" s="34" t="s">
        <v>138</v>
      </c>
      <c r="D5" s="34" t="s">
        <v>139</v>
      </c>
      <c r="E5" s="34" t="s">
        <v>18</v>
      </c>
      <c r="F5" s="34" t="s">
        <v>92</v>
      </c>
      <c r="G5" s="34" t="s">
        <v>140</v>
      </c>
      <c r="H5" s="34" t="s">
        <v>141</v>
      </c>
      <c r="I5" s="34" t="s">
        <v>142</v>
      </c>
      <c r="J5" s="34" t="s">
        <v>143</v>
      </c>
      <c r="K5" s="34" t="s">
        <v>144</v>
      </c>
      <c r="L5" s="34" t="s">
        <v>145</v>
      </c>
      <c r="M5" s="34" t="s">
        <v>146</v>
      </c>
    </row>
    <row r="6" customFormat="false" ht="70.5" hidden="false" customHeight="true" outlineLevel="0" collapsed="false">
      <c r="A6" s="105" t="n">
        <f aca="false">IF(B6="Yes",COUNTIF(B$6:B6,"Yes"),"—")</f>
        <v>1</v>
      </c>
      <c r="B6" s="98" t="s">
        <v>180</v>
      </c>
      <c r="C6" s="61" t="n">
        <f aca="false">IF(B6="Yes",Overview!$C$4+7*(COUNTIF(B$6:B6,"Yes")-1),"—")</f>
        <v>46307</v>
      </c>
      <c r="D6" s="61" t="n">
        <f aca="false">IF(B6="Yes",C6+6,"—")</f>
        <v>46313</v>
      </c>
      <c r="E6" s="106" t="s">
        <v>22</v>
      </c>
      <c r="F6" s="107" t="s">
        <v>118</v>
      </c>
      <c r="G6" s="101" t="s">
        <v>376</v>
      </c>
      <c r="H6" s="102" t="s">
        <v>377</v>
      </c>
      <c r="I6" s="102" t="s">
        <v>378</v>
      </c>
      <c r="J6" s="101" t="s">
        <v>379</v>
      </c>
      <c r="K6" s="103" t="n">
        <f aca="false">IF(B6="Yes",Overview!$C$5,0)</f>
        <v>20</v>
      </c>
      <c r="L6" s="98" t="s">
        <v>151</v>
      </c>
      <c r="M6" s="104"/>
    </row>
    <row r="7" customFormat="false" ht="96.75" hidden="false" customHeight="true" outlineLevel="0" collapsed="false">
      <c r="A7" s="105" t="n">
        <f aca="false">IF(B7="Yes",COUNTIF(B$6:B7,"Yes"),"—")</f>
        <v>2</v>
      </c>
      <c r="B7" s="98" t="s">
        <v>180</v>
      </c>
      <c r="C7" s="61" t="n">
        <f aca="false">IF(B7="Yes",Overview!$C$4+7*(COUNTIF(B$6:B7,"Yes")-1),"—")</f>
        <v>46314</v>
      </c>
      <c r="D7" s="61" t="n">
        <f aca="false">IF(B7="Yes",C7+6,"—")</f>
        <v>46320</v>
      </c>
      <c r="E7" s="106" t="s">
        <v>22</v>
      </c>
      <c r="F7" s="107" t="s">
        <v>118</v>
      </c>
      <c r="G7" s="101" t="s">
        <v>380</v>
      </c>
      <c r="H7" s="102" t="s">
        <v>381</v>
      </c>
      <c r="I7" s="102" t="s">
        <v>382</v>
      </c>
      <c r="J7" s="101" t="s">
        <v>383</v>
      </c>
      <c r="K7" s="103" t="n">
        <f aca="false">IF(B7="Yes",Overview!$C$5,0)</f>
        <v>20</v>
      </c>
      <c r="L7" s="98" t="s">
        <v>151</v>
      </c>
      <c r="M7" s="104"/>
    </row>
    <row r="8" customFormat="false" ht="70.5" hidden="false" customHeight="true" outlineLevel="0" collapsed="false">
      <c r="A8" s="105" t="str">
        <f aca="false">IF(B8="Yes",COUNTIF(B$6:B8,"Yes"),"—")</f>
        <v>—</v>
      </c>
      <c r="B8" s="98" t="s">
        <v>302</v>
      </c>
      <c r="C8" s="61" t="str">
        <f aca="false">IF(B8="Yes",Overview!$C$4+7*(COUNTIF(B$6:B8,"Yes")-1),"—")</f>
        <v>—</v>
      </c>
      <c r="D8" s="61" t="str">
        <f aca="false">IF(B8="Yes",C8+6,"—")</f>
        <v>—</v>
      </c>
      <c r="E8" s="106" t="s">
        <v>22</v>
      </c>
      <c r="F8" s="107" t="s">
        <v>119</v>
      </c>
      <c r="G8" s="101" t="s">
        <v>384</v>
      </c>
      <c r="H8" s="102" t="s">
        <v>385</v>
      </c>
      <c r="I8" s="102" t="s">
        <v>386</v>
      </c>
      <c r="J8" s="101" t="s">
        <v>387</v>
      </c>
      <c r="K8" s="103" t="n">
        <f aca="false">IF(B8="Yes",Overview!$C$5,0)</f>
        <v>0</v>
      </c>
      <c r="L8" s="98" t="s">
        <v>151</v>
      </c>
      <c r="M8" s="104" t="s">
        <v>388</v>
      </c>
    </row>
    <row r="9" customFormat="false" ht="45" hidden="false" customHeight="true" outlineLevel="0" collapsed="false">
      <c r="A9" s="108" t="n">
        <f aca="false">IF(B9="Yes",COUNTIF(B$6:B9,"Yes"),"—")</f>
        <v>3</v>
      </c>
      <c r="B9" s="98" t="s">
        <v>180</v>
      </c>
      <c r="C9" s="61" t="n">
        <f aca="false">IF(B9="Yes",Overview!$C$4+7*(COUNTIF(B$6:B9,"Yes")-1),"—")</f>
        <v>46321</v>
      </c>
      <c r="D9" s="61" t="n">
        <f aca="false">IF(B9="Yes",C9+6,"—")</f>
        <v>46327</v>
      </c>
      <c r="E9" s="109" t="s">
        <v>24</v>
      </c>
      <c r="F9" s="110" t="s">
        <v>120</v>
      </c>
      <c r="G9" s="101" t="s">
        <v>389</v>
      </c>
      <c r="H9" s="102" t="s">
        <v>390</v>
      </c>
      <c r="I9" s="102" t="s">
        <v>391</v>
      </c>
      <c r="J9" s="101" t="s">
        <v>392</v>
      </c>
      <c r="K9" s="103" t="n">
        <f aca="false">IF(B9="Yes",Overview!$C$5,0)</f>
        <v>20</v>
      </c>
      <c r="L9" s="98" t="s">
        <v>151</v>
      </c>
      <c r="M9" s="104"/>
    </row>
    <row r="10" customFormat="false" ht="45" hidden="false" customHeight="true" outlineLevel="0" collapsed="false">
      <c r="A10" s="108" t="n">
        <f aca="false">IF(B10="Yes",COUNTIF(B$6:B10,"Yes"),"—")</f>
        <v>4</v>
      </c>
      <c r="B10" s="98" t="s">
        <v>180</v>
      </c>
      <c r="C10" s="61" t="n">
        <f aca="false">IF(B10="Yes",Overview!$C$4+7*(COUNTIF(B$6:B10,"Yes")-1),"—")</f>
        <v>46328</v>
      </c>
      <c r="D10" s="61" t="n">
        <f aca="false">IF(B10="Yes",C10+6,"—")</f>
        <v>46334</v>
      </c>
      <c r="E10" s="109" t="s">
        <v>24</v>
      </c>
      <c r="F10" s="110" t="s">
        <v>120</v>
      </c>
      <c r="G10" s="101" t="s">
        <v>393</v>
      </c>
      <c r="H10" s="102" t="s">
        <v>394</v>
      </c>
      <c r="I10" s="102" t="s">
        <v>395</v>
      </c>
      <c r="J10" s="101" t="s">
        <v>392</v>
      </c>
      <c r="K10" s="103" t="n">
        <f aca="false">IF(B10="Yes",Overview!$C$5,0)</f>
        <v>20</v>
      </c>
      <c r="L10" s="98" t="s">
        <v>151</v>
      </c>
      <c r="M10" s="104"/>
    </row>
    <row r="11" customFormat="false" ht="70.5" hidden="false" customHeight="true" outlineLevel="0" collapsed="false">
      <c r="A11" s="108" t="n">
        <f aca="false">IF(B11="Yes",COUNTIF(B$6:B11,"Yes"),"—")</f>
        <v>5</v>
      </c>
      <c r="B11" s="98" t="s">
        <v>180</v>
      </c>
      <c r="C11" s="61" t="n">
        <f aca="false">IF(B11="Yes",Overview!$C$4+7*(COUNTIF(B$6:B11,"Yes")-1),"—")</f>
        <v>46335</v>
      </c>
      <c r="D11" s="61" t="n">
        <f aca="false">IF(B11="Yes",C11+6,"—")</f>
        <v>46341</v>
      </c>
      <c r="E11" s="109" t="s">
        <v>24</v>
      </c>
      <c r="F11" s="110" t="s">
        <v>120</v>
      </c>
      <c r="G11" s="101" t="s">
        <v>396</v>
      </c>
      <c r="H11" s="102" t="s">
        <v>397</v>
      </c>
      <c r="I11" s="102" t="s">
        <v>398</v>
      </c>
      <c r="J11" s="101" t="s">
        <v>392</v>
      </c>
      <c r="K11" s="103" t="n">
        <f aca="false">IF(B11="Yes",Overview!$C$5,0)</f>
        <v>20</v>
      </c>
      <c r="L11" s="98" t="s">
        <v>151</v>
      </c>
      <c r="M11" s="104"/>
    </row>
    <row r="12" customFormat="false" ht="45" hidden="false" customHeight="true" outlineLevel="0" collapsed="false">
      <c r="A12" s="108" t="n">
        <f aca="false">IF(B12="Yes",COUNTIF(B$6:B12,"Yes"),"—")</f>
        <v>6</v>
      </c>
      <c r="B12" s="98" t="s">
        <v>180</v>
      </c>
      <c r="C12" s="61" t="n">
        <f aca="false">IF(B12="Yes",Overview!$C$4+7*(COUNTIF(B$6:B12,"Yes")-1),"—")</f>
        <v>46342</v>
      </c>
      <c r="D12" s="61" t="n">
        <f aca="false">IF(B12="Yes",C12+6,"—")</f>
        <v>46348</v>
      </c>
      <c r="E12" s="109" t="s">
        <v>24</v>
      </c>
      <c r="F12" s="110" t="s">
        <v>120</v>
      </c>
      <c r="G12" s="101" t="s">
        <v>399</v>
      </c>
      <c r="H12" s="102" t="s">
        <v>390</v>
      </c>
      <c r="I12" s="102" t="s">
        <v>400</v>
      </c>
      <c r="J12" s="101" t="s">
        <v>392</v>
      </c>
      <c r="K12" s="103" t="n">
        <f aca="false">IF(B12="Yes",Overview!$C$5,0)</f>
        <v>20</v>
      </c>
      <c r="L12" s="98" t="s">
        <v>151</v>
      </c>
      <c r="M12" s="104"/>
    </row>
    <row r="13" customFormat="false" ht="45" hidden="false" customHeight="true" outlineLevel="0" collapsed="false">
      <c r="A13" s="108" t="n">
        <f aca="false">IF(B13="Yes",COUNTIF(B$6:B13,"Yes"),"—")</f>
        <v>7</v>
      </c>
      <c r="B13" s="98" t="s">
        <v>180</v>
      </c>
      <c r="C13" s="61" t="n">
        <f aca="false">IF(B13="Yes",Overview!$C$4+7*(COUNTIF(B$6:B13,"Yes")-1),"—")</f>
        <v>46349</v>
      </c>
      <c r="D13" s="61" t="n">
        <f aca="false">IF(B13="Yes",C13+6,"—")</f>
        <v>46355</v>
      </c>
      <c r="E13" s="109" t="s">
        <v>24</v>
      </c>
      <c r="F13" s="110" t="s">
        <v>120</v>
      </c>
      <c r="G13" s="101" t="s">
        <v>401</v>
      </c>
      <c r="H13" s="102" t="s">
        <v>394</v>
      </c>
      <c r="I13" s="102" t="s">
        <v>402</v>
      </c>
      <c r="J13" s="101" t="s">
        <v>392</v>
      </c>
      <c r="K13" s="103" t="n">
        <f aca="false">IF(B13="Yes",Overview!$C$5,0)</f>
        <v>20</v>
      </c>
      <c r="L13" s="98" t="s">
        <v>151</v>
      </c>
      <c r="M13" s="104"/>
    </row>
    <row r="14" customFormat="false" ht="57.75" hidden="false" customHeight="true" outlineLevel="0" collapsed="false">
      <c r="A14" s="108" t="n">
        <f aca="false">IF(B14="Yes",COUNTIF(B$6:B14,"Yes"),"—")</f>
        <v>8</v>
      </c>
      <c r="B14" s="98" t="s">
        <v>180</v>
      </c>
      <c r="C14" s="61" t="n">
        <f aca="false">IF(B14="Yes",Overview!$C$4+7*(COUNTIF(B$6:B14,"Yes")-1),"—")</f>
        <v>46356</v>
      </c>
      <c r="D14" s="61" t="n">
        <f aca="false">IF(B14="Yes",C14+6,"—")</f>
        <v>46362</v>
      </c>
      <c r="E14" s="109" t="s">
        <v>24</v>
      </c>
      <c r="F14" s="110" t="s">
        <v>120</v>
      </c>
      <c r="G14" s="101" t="s">
        <v>403</v>
      </c>
      <c r="H14" s="102" t="s">
        <v>397</v>
      </c>
      <c r="I14" s="102" t="s">
        <v>404</v>
      </c>
      <c r="J14" s="101" t="s">
        <v>405</v>
      </c>
      <c r="K14" s="103" t="n">
        <f aca="false">IF(B14="Yes",Overview!$C$5,0)</f>
        <v>20</v>
      </c>
      <c r="L14" s="98" t="s">
        <v>151</v>
      </c>
      <c r="M14" s="104"/>
    </row>
    <row r="15" customFormat="false" ht="45" hidden="false" customHeight="true" outlineLevel="0" collapsed="false">
      <c r="A15" s="108" t="n">
        <f aca="false">IF(B15="Yes",COUNTIF(B$6:B15,"Yes"),"—")</f>
        <v>9</v>
      </c>
      <c r="B15" s="98" t="s">
        <v>180</v>
      </c>
      <c r="C15" s="61" t="n">
        <f aca="false">IF(B15="Yes",Overview!$C$4+7*(COUNTIF(B$6:B15,"Yes")-1),"—")</f>
        <v>46363</v>
      </c>
      <c r="D15" s="61" t="n">
        <f aca="false">IF(B15="Yes",C15+6,"—")</f>
        <v>46369</v>
      </c>
      <c r="E15" s="109" t="s">
        <v>24</v>
      </c>
      <c r="F15" s="110" t="s">
        <v>121</v>
      </c>
      <c r="G15" s="101" t="s">
        <v>406</v>
      </c>
      <c r="H15" s="102" t="s">
        <v>407</v>
      </c>
      <c r="I15" s="102" t="s">
        <v>408</v>
      </c>
      <c r="J15" s="101" t="s">
        <v>409</v>
      </c>
      <c r="K15" s="103" t="n">
        <f aca="false">IF(B15="Yes",Overview!$C$5,0)</f>
        <v>20</v>
      </c>
      <c r="L15" s="98" t="s">
        <v>151</v>
      </c>
      <c r="M15" s="104"/>
    </row>
    <row r="16" customFormat="false" ht="57.75" hidden="false" customHeight="true" outlineLevel="0" collapsed="false">
      <c r="A16" s="108" t="n">
        <f aca="false">IF(B16="Yes",COUNTIF(B$6:B16,"Yes"),"—")</f>
        <v>10</v>
      </c>
      <c r="B16" s="98" t="s">
        <v>180</v>
      </c>
      <c r="C16" s="61" t="n">
        <f aca="false">IF(B16="Yes",Overview!$C$4+7*(COUNTIF(B$6:B16,"Yes")-1),"—")</f>
        <v>46370</v>
      </c>
      <c r="D16" s="61" t="n">
        <f aca="false">IF(B16="Yes",C16+6,"—")</f>
        <v>46376</v>
      </c>
      <c r="E16" s="109" t="s">
        <v>24</v>
      </c>
      <c r="F16" s="110" t="s">
        <v>121</v>
      </c>
      <c r="G16" s="101" t="s">
        <v>410</v>
      </c>
      <c r="H16" s="102" t="s">
        <v>411</v>
      </c>
      <c r="I16" s="102" t="s">
        <v>412</v>
      </c>
      <c r="J16" s="101" t="s">
        <v>413</v>
      </c>
      <c r="K16" s="103" t="n">
        <f aca="false">IF(B16="Yes",Overview!$C$5,0)</f>
        <v>20</v>
      </c>
      <c r="L16" s="98" t="s">
        <v>151</v>
      </c>
      <c r="M16" s="104"/>
    </row>
    <row r="17" customFormat="false" ht="70.5" hidden="false" customHeight="true" outlineLevel="0" collapsed="false">
      <c r="A17" s="108" t="str">
        <f aca="false">IF(B17="Yes",COUNTIF(B$6:B17,"Yes"),"—")</f>
        <v>—</v>
      </c>
      <c r="B17" s="98" t="s">
        <v>302</v>
      </c>
      <c r="C17" s="61" t="str">
        <f aca="false">IF(B17="Yes",Overview!$C$4+7*(COUNTIF(B$6:B17,"Yes")-1),"—")</f>
        <v>—</v>
      </c>
      <c r="D17" s="61" t="str">
        <f aca="false">IF(B17="Yes",C17+6,"—")</f>
        <v>—</v>
      </c>
      <c r="E17" s="109" t="s">
        <v>24</v>
      </c>
      <c r="F17" s="110" t="s">
        <v>122</v>
      </c>
      <c r="G17" s="101" t="s">
        <v>414</v>
      </c>
      <c r="H17" s="102" t="s">
        <v>415</v>
      </c>
      <c r="I17" s="102" t="s">
        <v>416</v>
      </c>
      <c r="J17" s="101" t="s">
        <v>417</v>
      </c>
      <c r="K17" s="103" t="n">
        <f aca="false">IF(B17="Yes",Overview!$C$5,0)</f>
        <v>0</v>
      </c>
      <c r="L17" s="98" t="s">
        <v>151</v>
      </c>
      <c r="M17" s="104" t="s">
        <v>388</v>
      </c>
    </row>
    <row r="18" customFormat="false" ht="57.75" hidden="false" customHeight="true" outlineLevel="0" collapsed="false">
      <c r="A18" s="111" t="n">
        <f aca="false">IF(B18="Yes",COUNTIF(B$6:B18,"Yes"),"—")</f>
        <v>11</v>
      </c>
      <c r="B18" s="98" t="s">
        <v>180</v>
      </c>
      <c r="C18" s="61" t="n">
        <f aca="false">IF(B18="Yes",Overview!$C$4+7*(COUNTIF(B$6:B18,"Yes")-1),"—")</f>
        <v>46377</v>
      </c>
      <c r="D18" s="61" t="n">
        <f aca="false">IF(B18="Yes",C18+6,"—")</f>
        <v>46383</v>
      </c>
      <c r="E18" s="112" t="s">
        <v>26</v>
      </c>
      <c r="F18" s="113" t="s">
        <v>123</v>
      </c>
      <c r="G18" s="101" t="s">
        <v>418</v>
      </c>
      <c r="H18" s="102" t="s">
        <v>419</v>
      </c>
      <c r="I18" s="102" t="s">
        <v>420</v>
      </c>
      <c r="J18" s="101" t="s">
        <v>421</v>
      </c>
      <c r="K18" s="103" t="n">
        <f aca="false">IF(B18="Yes",Overview!$C$5,0)</f>
        <v>20</v>
      </c>
      <c r="L18" s="98" t="s">
        <v>151</v>
      </c>
      <c r="M18" s="104"/>
    </row>
    <row r="19" customFormat="false" ht="57.75" hidden="false" customHeight="true" outlineLevel="0" collapsed="false">
      <c r="A19" s="111" t="n">
        <f aca="false">IF(B19="Yes",COUNTIF(B$6:B19,"Yes"),"—")</f>
        <v>12</v>
      </c>
      <c r="B19" s="98" t="s">
        <v>180</v>
      </c>
      <c r="C19" s="61" t="n">
        <f aca="false">IF(B19="Yes",Overview!$C$4+7*(COUNTIF(B$6:B19,"Yes")-1),"—")</f>
        <v>46384</v>
      </c>
      <c r="D19" s="61" t="n">
        <f aca="false">IF(B19="Yes",C19+6,"—")</f>
        <v>46390</v>
      </c>
      <c r="E19" s="112" t="s">
        <v>26</v>
      </c>
      <c r="F19" s="113" t="s">
        <v>123</v>
      </c>
      <c r="G19" s="101" t="s">
        <v>422</v>
      </c>
      <c r="H19" s="102" t="s">
        <v>423</v>
      </c>
      <c r="I19" s="102" t="s">
        <v>424</v>
      </c>
      <c r="J19" s="101" t="s">
        <v>421</v>
      </c>
      <c r="K19" s="103" t="n">
        <f aca="false">IF(B19="Yes",Overview!$C$5,0)</f>
        <v>20</v>
      </c>
      <c r="L19" s="98" t="s">
        <v>151</v>
      </c>
      <c r="M19" s="104"/>
    </row>
    <row r="20" customFormat="false" ht="84" hidden="false" customHeight="true" outlineLevel="0" collapsed="false">
      <c r="A20" s="111" t="n">
        <f aca="false">IF(B20="Yes",COUNTIF(B$6:B20,"Yes"),"—")</f>
        <v>13</v>
      </c>
      <c r="B20" s="98" t="s">
        <v>180</v>
      </c>
      <c r="C20" s="61" t="n">
        <f aca="false">IF(B20="Yes",Overview!$C$4+7*(COUNTIF(B$6:B20,"Yes")-1),"—")</f>
        <v>46391</v>
      </c>
      <c r="D20" s="61" t="n">
        <f aca="false">IF(B20="Yes",C20+6,"—")</f>
        <v>46397</v>
      </c>
      <c r="E20" s="112" t="s">
        <v>26</v>
      </c>
      <c r="F20" s="113" t="s">
        <v>123</v>
      </c>
      <c r="G20" s="101" t="s">
        <v>425</v>
      </c>
      <c r="H20" s="102" t="s">
        <v>426</v>
      </c>
      <c r="I20" s="102" t="s">
        <v>427</v>
      </c>
      <c r="J20" s="101" t="s">
        <v>421</v>
      </c>
      <c r="K20" s="103" t="n">
        <f aca="false">IF(B20="Yes",Overview!$C$5,0)</f>
        <v>20</v>
      </c>
      <c r="L20" s="98" t="s">
        <v>151</v>
      </c>
      <c r="M20" s="104"/>
    </row>
    <row r="21" customFormat="false" ht="70.5" hidden="false" customHeight="true" outlineLevel="0" collapsed="false">
      <c r="A21" s="111" t="n">
        <f aca="false">IF(B21="Yes",COUNTIF(B$6:B21,"Yes"),"—")</f>
        <v>14</v>
      </c>
      <c r="B21" s="98" t="s">
        <v>180</v>
      </c>
      <c r="C21" s="61" t="n">
        <f aca="false">IF(B21="Yes",Overview!$C$4+7*(COUNTIF(B$6:B21,"Yes")-1),"—")</f>
        <v>46398</v>
      </c>
      <c r="D21" s="61" t="n">
        <f aca="false">IF(B21="Yes",C21+6,"—")</f>
        <v>46404</v>
      </c>
      <c r="E21" s="112" t="s">
        <v>26</v>
      </c>
      <c r="F21" s="113" t="s">
        <v>123</v>
      </c>
      <c r="G21" s="101" t="s">
        <v>428</v>
      </c>
      <c r="H21" s="102" t="s">
        <v>419</v>
      </c>
      <c r="I21" s="102" t="s">
        <v>429</v>
      </c>
      <c r="J21" s="101" t="s">
        <v>430</v>
      </c>
      <c r="K21" s="103" t="n">
        <f aca="false">IF(B21="Yes",Overview!$C$5,0)</f>
        <v>20</v>
      </c>
      <c r="L21" s="98" t="s">
        <v>151</v>
      </c>
      <c r="M21" s="104"/>
    </row>
    <row r="22" customFormat="false" ht="84" hidden="false" customHeight="true" outlineLevel="0" collapsed="false">
      <c r="A22" s="114" t="n">
        <f aca="false">IF(B22="Yes",COUNTIF(B$6:B22,"Yes"),"—")</f>
        <v>15</v>
      </c>
      <c r="B22" s="98" t="s">
        <v>180</v>
      </c>
      <c r="C22" s="61" t="n">
        <f aca="false">IF(B22="Yes",Overview!$C$4+7*(COUNTIF(B$6:B22,"Yes")-1),"—")</f>
        <v>46405</v>
      </c>
      <c r="D22" s="61" t="n">
        <f aca="false">IF(B22="Yes",C22+6,"—")</f>
        <v>46411</v>
      </c>
      <c r="E22" s="115" t="s">
        <v>29</v>
      </c>
      <c r="F22" s="116" t="s">
        <v>124</v>
      </c>
      <c r="G22" s="101" t="s">
        <v>431</v>
      </c>
      <c r="H22" s="102" t="s">
        <v>432</v>
      </c>
      <c r="I22" s="102" t="s">
        <v>433</v>
      </c>
      <c r="J22" s="101" t="s">
        <v>434</v>
      </c>
      <c r="K22" s="103" t="n">
        <f aca="false">IF(B22="Yes",Overview!$C$5,0)</f>
        <v>20</v>
      </c>
      <c r="L22" s="98" t="s">
        <v>151</v>
      </c>
      <c r="M22" s="104"/>
    </row>
    <row r="23" customFormat="false" ht="109.5" hidden="false" customHeight="true" outlineLevel="0" collapsed="false">
      <c r="A23" s="114" t="n">
        <f aca="false">IF(B23="Yes",COUNTIF(B$6:B23,"Yes"),"—")</f>
        <v>16</v>
      </c>
      <c r="B23" s="98" t="s">
        <v>180</v>
      </c>
      <c r="C23" s="61" t="n">
        <f aca="false">IF(B23="Yes",Overview!$C$4+7*(COUNTIF(B$6:B23,"Yes")-1),"—")</f>
        <v>46412</v>
      </c>
      <c r="D23" s="61" t="n">
        <f aca="false">IF(B23="Yes",C23+6,"—")</f>
        <v>46418</v>
      </c>
      <c r="E23" s="115" t="s">
        <v>29</v>
      </c>
      <c r="F23" s="116" t="s">
        <v>124</v>
      </c>
      <c r="G23" s="101" t="s">
        <v>435</v>
      </c>
      <c r="H23" s="102" t="s">
        <v>436</v>
      </c>
      <c r="I23" s="102" t="s">
        <v>437</v>
      </c>
      <c r="J23" s="101" t="s">
        <v>434</v>
      </c>
      <c r="K23" s="103" t="n">
        <f aca="false">IF(B23="Yes",Overview!$C$5,0)</f>
        <v>20</v>
      </c>
      <c r="L23" s="98" t="s">
        <v>151</v>
      </c>
      <c r="M23" s="104"/>
    </row>
    <row r="24" customFormat="false" ht="96.75" hidden="false" customHeight="true" outlineLevel="0" collapsed="false">
      <c r="A24" s="114" t="n">
        <f aca="false">IF(B24="Yes",COUNTIF(B$6:B24,"Yes"),"—")</f>
        <v>17</v>
      </c>
      <c r="B24" s="98" t="s">
        <v>180</v>
      </c>
      <c r="C24" s="61" t="n">
        <f aca="false">IF(B24="Yes",Overview!$C$4+7*(COUNTIF(B$6:B24,"Yes")-1),"—")</f>
        <v>46419</v>
      </c>
      <c r="D24" s="61" t="n">
        <f aca="false">IF(B24="Yes",C24+6,"—")</f>
        <v>46425</v>
      </c>
      <c r="E24" s="115" t="s">
        <v>29</v>
      </c>
      <c r="F24" s="116" t="s">
        <v>124</v>
      </c>
      <c r="G24" s="101" t="s">
        <v>438</v>
      </c>
      <c r="H24" s="102" t="s">
        <v>439</v>
      </c>
      <c r="I24" s="102" t="s">
        <v>440</v>
      </c>
      <c r="J24" s="101" t="s">
        <v>434</v>
      </c>
      <c r="K24" s="103" t="n">
        <f aca="false">IF(B24="Yes",Overview!$C$5,0)</f>
        <v>20</v>
      </c>
      <c r="L24" s="98" t="s">
        <v>151</v>
      </c>
      <c r="M24" s="104"/>
    </row>
    <row r="25" customFormat="false" ht="96.75" hidden="false" customHeight="true" outlineLevel="0" collapsed="false">
      <c r="A25" s="114" t="n">
        <f aca="false">IF(B25="Yes",COUNTIF(B$6:B25,"Yes"),"—")</f>
        <v>18</v>
      </c>
      <c r="B25" s="98" t="s">
        <v>180</v>
      </c>
      <c r="C25" s="61" t="n">
        <f aca="false">IF(B25="Yes",Overview!$C$4+7*(COUNTIF(B$6:B25,"Yes")-1),"—")</f>
        <v>46426</v>
      </c>
      <c r="D25" s="61" t="n">
        <f aca="false">IF(B25="Yes",C25+6,"—")</f>
        <v>46432</v>
      </c>
      <c r="E25" s="115" t="s">
        <v>29</v>
      </c>
      <c r="F25" s="116" t="s">
        <v>124</v>
      </c>
      <c r="G25" s="101" t="s">
        <v>441</v>
      </c>
      <c r="H25" s="102" t="s">
        <v>432</v>
      </c>
      <c r="I25" s="102" t="s">
        <v>442</v>
      </c>
      <c r="J25" s="101" t="s">
        <v>443</v>
      </c>
      <c r="K25" s="103" t="n">
        <f aca="false">IF(B25="Yes",Overview!$C$5,0)</f>
        <v>20</v>
      </c>
      <c r="L25" s="98" t="s">
        <v>151</v>
      </c>
      <c r="M25" s="104"/>
    </row>
    <row r="26" customFormat="false" ht="43.5" hidden="false" customHeight="true" outlineLevel="0" collapsed="false">
      <c r="A26" s="114" t="n">
        <f aca="false">IF(B26="Yes",COUNTIF(B$6:B26,"Yes"),"—")</f>
        <v>19</v>
      </c>
      <c r="B26" s="98" t="s">
        <v>180</v>
      </c>
      <c r="C26" s="61" t="n">
        <f aca="false">IF(B26="Yes",Overview!$C$4+7*(COUNTIF(B$6:B26,"Yes")-1),"—")</f>
        <v>46433</v>
      </c>
      <c r="D26" s="61" t="n">
        <f aca="false">IF(B26="Yes",C26+6,"—")</f>
        <v>46439</v>
      </c>
      <c r="E26" s="115" t="s">
        <v>29</v>
      </c>
      <c r="F26" s="116" t="s">
        <v>104</v>
      </c>
      <c r="G26" s="101" t="s">
        <v>444</v>
      </c>
      <c r="H26" s="102" t="s">
        <v>225</v>
      </c>
      <c r="I26" s="102" t="s">
        <v>226</v>
      </c>
      <c r="J26" s="101" t="s">
        <v>445</v>
      </c>
      <c r="K26" s="103" t="n">
        <f aca="false">IF(B26="Yes",Overview!$C$5,0)</f>
        <v>20</v>
      </c>
      <c r="L26" s="98" t="s">
        <v>151</v>
      </c>
      <c r="M26" s="104"/>
    </row>
    <row r="27" customFormat="false" ht="43.5" hidden="false" customHeight="true" outlineLevel="0" collapsed="false">
      <c r="A27" s="114" t="n">
        <f aca="false">IF(B27="Yes",COUNTIF(B$6:B27,"Yes"),"—")</f>
        <v>20</v>
      </c>
      <c r="B27" s="98" t="s">
        <v>180</v>
      </c>
      <c r="C27" s="61" t="n">
        <f aca="false">IF(B27="Yes",Overview!$C$4+7*(COUNTIF(B$6:B27,"Yes")-1),"—")</f>
        <v>46440</v>
      </c>
      <c r="D27" s="61" t="n">
        <f aca="false">IF(B27="Yes",C27+6,"—")</f>
        <v>46446</v>
      </c>
      <c r="E27" s="115" t="s">
        <v>29</v>
      </c>
      <c r="F27" s="116" t="s">
        <v>104</v>
      </c>
      <c r="G27" s="101" t="s">
        <v>446</v>
      </c>
      <c r="H27" s="102" t="s">
        <v>229</v>
      </c>
      <c r="I27" s="102" t="s">
        <v>447</v>
      </c>
      <c r="J27" s="101" t="s">
        <v>445</v>
      </c>
      <c r="K27" s="103" t="n">
        <f aca="false">IF(B27="Yes",Overview!$C$5,0)</f>
        <v>20</v>
      </c>
      <c r="L27" s="98" t="s">
        <v>151</v>
      </c>
      <c r="M27" s="104"/>
    </row>
    <row r="28" customFormat="false" ht="43.5" hidden="false" customHeight="true" outlineLevel="0" collapsed="false">
      <c r="A28" s="114" t="n">
        <f aca="false">IF(B28="Yes",COUNTIF(B$6:B28,"Yes"),"—")</f>
        <v>21</v>
      </c>
      <c r="B28" s="98" t="s">
        <v>180</v>
      </c>
      <c r="C28" s="61" t="n">
        <f aca="false">IF(B28="Yes",Overview!$C$4+7*(COUNTIF(B$6:B28,"Yes")-1),"—")</f>
        <v>46447</v>
      </c>
      <c r="D28" s="61" t="n">
        <f aca="false">IF(B28="Yes",C28+6,"—")</f>
        <v>46453</v>
      </c>
      <c r="E28" s="115" t="s">
        <v>29</v>
      </c>
      <c r="F28" s="116" t="s">
        <v>104</v>
      </c>
      <c r="G28" s="101" t="s">
        <v>448</v>
      </c>
      <c r="H28" s="102" t="s">
        <v>449</v>
      </c>
      <c r="I28" s="102" t="s">
        <v>450</v>
      </c>
      <c r="J28" s="101" t="s">
        <v>445</v>
      </c>
      <c r="K28" s="103" t="n">
        <f aca="false">IF(B28="Yes",Overview!$C$5,0)</f>
        <v>20</v>
      </c>
      <c r="L28" s="98" t="s">
        <v>151</v>
      </c>
      <c r="M28" s="104"/>
    </row>
    <row r="29" customFormat="false" ht="45" hidden="false" customHeight="true" outlineLevel="0" collapsed="false">
      <c r="A29" s="114" t="n">
        <f aca="false">IF(B29="Yes",COUNTIF(B$6:B29,"Yes"),"—")</f>
        <v>22</v>
      </c>
      <c r="B29" s="98" t="s">
        <v>180</v>
      </c>
      <c r="C29" s="61" t="n">
        <f aca="false">IF(B29="Yes",Overview!$C$4+7*(COUNTIF(B$6:B29,"Yes")-1),"—")</f>
        <v>46454</v>
      </c>
      <c r="D29" s="61" t="n">
        <f aca="false">IF(B29="Yes",C29+6,"—")</f>
        <v>46460</v>
      </c>
      <c r="E29" s="115" t="s">
        <v>29</v>
      </c>
      <c r="F29" s="116" t="s">
        <v>104</v>
      </c>
      <c r="G29" s="101" t="s">
        <v>451</v>
      </c>
      <c r="H29" s="102" t="s">
        <v>225</v>
      </c>
      <c r="I29" s="102" t="s">
        <v>452</v>
      </c>
      <c r="J29" s="101" t="s">
        <v>453</v>
      </c>
      <c r="K29" s="103" t="n">
        <f aca="false">IF(B29="Yes",Overview!$C$5,0)</f>
        <v>20</v>
      </c>
      <c r="L29" s="98" t="s">
        <v>151</v>
      </c>
      <c r="M29" s="104"/>
    </row>
    <row r="30" customFormat="false" ht="84" hidden="false" customHeight="true" outlineLevel="0" collapsed="false">
      <c r="A30" s="114" t="n">
        <f aca="false">IF(B30="Yes",COUNTIF(B$6:B30,"Yes"),"—")</f>
        <v>23</v>
      </c>
      <c r="B30" s="98" t="s">
        <v>180</v>
      </c>
      <c r="C30" s="61" t="n">
        <f aca="false">IF(B30="Yes",Overview!$C$4+7*(COUNTIF(B$6:B30,"Yes")-1),"—")</f>
        <v>46461</v>
      </c>
      <c r="D30" s="61" t="n">
        <f aca="false">IF(B30="Yes",C30+6,"—")</f>
        <v>46467</v>
      </c>
      <c r="E30" s="115" t="s">
        <v>29</v>
      </c>
      <c r="F30" s="116" t="s">
        <v>125</v>
      </c>
      <c r="G30" s="101" t="s">
        <v>454</v>
      </c>
      <c r="H30" s="102" t="s">
        <v>455</v>
      </c>
      <c r="I30" s="102" t="s">
        <v>456</v>
      </c>
      <c r="J30" s="101" t="s">
        <v>457</v>
      </c>
      <c r="K30" s="103" t="n">
        <f aca="false">IF(B30="Yes",Overview!$C$5,0)</f>
        <v>20</v>
      </c>
      <c r="L30" s="98" t="s">
        <v>151</v>
      </c>
      <c r="M30" s="104"/>
    </row>
    <row r="31" customFormat="false" ht="84" hidden="false" customHeight="true" outlineLevel="0" collapsed="false">
      <c r="A31" s="114" t="n">
        <f aca="false">IF(B31="Yes",COUNTIF(B$6:B31,"Yes"),"—")</f>
        <v>24</v>
      </c>
      <c r="B31" s="98" t="s">
        <v>180</v>
      </c>
      <c r="C31" s="61" t="n">
        <f aca="false">IF(B31="Yes",Overview!$C$4+7*(COUNTIF(B$6:B31,"Yes")-1),"—")</f>
        <v>46468</v>
      </c>
      <c r="D31" s="61" t="n">
        <f aca="false">IF(B31="Yes",C31+6,"—")</f>
        <v>46474</v>
      </c>
      <c r="E31" s="115" t="s">
        <v>29</v>
      </c>
      <c r="F31" s="116" t="s">
        <v>125</v>
      </c>
      <c r="G31" s="101" t="s">
        <v>458</v>
      </c>
      <c r="H31" s="102" t="s">
        <v>276</v>
      </c>
      <c r="I31" s="102" t="s">
        <v>459</v>
      </c>
      <c r="J31" s="101" t="s">
        <v>460</v>
      </c>
      <c r="K31" s="103" t="n">
        <f aca="false">IF(B31="Yes",Overview!$C$5,0)</f>
        <v>20</v>
      </c>
      <c r="L31" s="98" t="s">
        <v>151</v>
      </c>
      <c r="M31" s="104"/>
    </row>
    <row r="32" customFormat="false" ht="43.5" hidden="false" customHeight="true" outlineLevel="0" collapsed="false">
      <c r="A32" s="117" t="n">
        <f aca="false">IF(B32="Yes",COUNTIF(B$6:B32,"Yes"),"—")</f>
        <v>25</v>
      </c>
      <c r="B32" s="98" t="s">
        <v>180</v>
      </c>
      <c r="C32" s="61" t="n">
        <f aca="false">IF(B32="Yes",Overview!$C$4+7*(COUNTIF(B$6:B32,"Yes")-1),"—")</f>
        <v>46475</v>
      </c>
      <c r="D32" s="61" t="n">
        <f aca="false">IF(B32="Yes",C32+6,"—")</f>
        <v>46481</v>
      </c>
      <c r="E32" s="118" t="s">
        <v>31</v>
      </c>
      <c r="F32" s="119" t="s">
        <v>126</v>
      </c>
      <c r="G32" s="101" t="s">
        <v>461</v>
      </c>
      <c r="H32" s="102" t="s">
        <v>462</v>
      </c>
      <c r="I32" s="102" t="s">
        <v>463</v>
      </c>
      <c r="J32" s="101" t="s">
        <v>464</v>
      </c>
      <c r="K32" s="103" t="n">
        <f aca="false">IF(B32="Yes",Overview!$C$5,0)</f>
        <v>20</v>
      </c>
      <c r="L32" s="98" t="s">
        <v>151</v>
      </c>
      <c r="M32" s="104"/>
    </row>
    <row r="33" customFormat="false" ht="57.75" hidden="false" customHeight="true" outlineLevel="0" collapsed="false">
      <c r="A33" s="117" t="n">
        <f aca="false">IF(B33="Yes",COUNTIF(B$6:B33,"Yes"),"—")</f>
        <v>26</v>
      </c>
      <c r="B33" s="98" t="s">
        <v>180</v>
      </c>
      <c r="C33" s="61" t="n">
        <f aca="false">IF(B33="Yes",Overview!$C$4+7*(COUNTIF(B$6:B33,"Yes")-1),"—")</f>
        <v>46482</v>
      </c>
      <c r="D33" s="61" t="n">
        <f aca="false">IF(B33="Yes",C33+6,"—")</f>
        <v>46488</v>
      </c>
      <c r="E33" s="118" t="s">
        <v>31</v>
      </c>
      <c r="F33" s="119" t="s">
        <v>126</v>
      </c>
      <c r="G33" s="101" t="s">
        <v>465</v>
      </c>
      <c r="H33" s="102" t="s">
        <v>466</v>
      </c>
      <c r="I33" s="102" t="s">
        <v>467</v>
      </c>
      <c r="J33" s="101" t="s">
        <v>464</v>
      </c>
      <c r="K33" s="103" t="n">
        <f aca="false">IF(B33="Yes",Overview!$C$5,0)</f>
        <v>20</v>
      </c>
      <c r="L33" s="98" t="s">
        <v>151</v>
      </c>
      <c r="M33" s="104"/>
    </row>
    <row r="34" customFormat="false" ht="84" hidden="false" customHeight="true" outlineLevel="0" collapsed="false">
      <c r="A34" s="117" t="n">
        <f aca="false">IF(B34="Yes",COUNTIF(B$6:B34,"Yes"),"—")</f>
        <v>27</v>
      </c>
      <c r="B34" s="98" t="s">
        <v>180</v>
      </c>
      <c r="C34" s="61" t="n">
        <f aca="false">IF(B34="Yes",Overview!$C$4+7*(COUNTIF(B$6:B34,"Yes")-1),"—")</f>
        <v>46489</v>
      </c>
      <c r="D34" s="61" t="n">
        <f aca="false">IF(B34="Yes",C34+6,"—")</f>
        <v>46495</v>
      </c>
      <c r="E34" s="118" t="s">
        <v>31</v>
      </c>
      <c r="F34" s="119" t="s">
        <v>126</v>
      </c>
      <c r="G34" s="101" t="s">
        <v>468</v>
      </c>
      <c r="H34" s="102" t="s">
        <v>469</v>
      </c>
      <c r="I34" s="102" t="s">
        <v>470</v>
      </c>
      <c r="J34" s="101" t="s">
        <v>464</v>
      </c>
      <c r="K34" s="103" t="n">
        <f aca="false">IF(B34="Yes",Overview!$C$5,0)</f>
        <v>20</v>
      </c>
      <c r="L34" s="98" t="s">
        <v>151</v>
      </c>
      <c r="M34" s="104"/>
    </row>
    <row r="35" customFormat="false" ht="70.5" hidden="false" customHeight="true" outlineLevel="0" collapsed="false">
      <c r="A35" s="117" t="n">
        <f aca="false">IF(B35="Yes",COUNTIF(B$6:B35,"Yes"),"—")</f>
        <v>28</v>
      </c>
      <c r="B35" s="98" t="s">
        <v>180</v>
      </c>
      <c r="C35" s="61" t="n">
        <f aca="false">IF(B35="Yes",Overview!$C$4+7*(COUNTIF(B$6:B35,"Yes")-1),"—")</f>
        <v>46496</v>
      </c>
      <c r="D35" s="61" t="n">
        <f aca="false">IF(B35="Yes",C35+6,"—")</f>
        <v>46502</v>
      </c>
      <c r="E35" s="118" t="s">
        <v>31</v>
      </c>
      <c r="F35" s="119" t="s">
        <v>126</v>
      </c>
      <c r="G35" s="101" t="s">
        <v>471</v>
      </c>
      <c r="H35" s="102" t="s">
        <v>462</v>
      </c>
      <c r="I35" s="102" t="s">
        <v>472</v>
      </c>
      <c r="J35" s="101" t="s">
        <v>473</v>
      </c>
      <c r="K35" s="103" t="n">
        <f aca="false">IF(B35="Yes",Overview!$C$5,0)</f>
        <v>20</v>
      </c>
      <c r="L35" s="98" t="s">
        <v>151</v>
      </c>
      <c r="M35" s="104"/>
    </row>
    <row r="36" customFormat="false" ht="45" hidden="false" customHeight="true" outlineLevel="0" collapsed="false">
      <c r="A36" s="117" t="n">
        <f aca="false">IF(B36="Yes",COUNTIF(B$6:B36,"Yes"),"—")</f>
        <v>29</v>
      </c>
      <c r="B36" s="98" t="s">
        <v>180</v>
      </c>
      <c r="C36" s="61" t="n">
        <f aca="false">IF(B36="Yes",Overview!$C$4+7*(COUNTIF(B$6:B36,"Yes")-1),"—")</f>
        <v>46503</v>
      </c>
      <c r="D36" s="61" t="n">
        <f aca="false">IF(B36="Yes",C36+6,"—")</f>
        <v>46509</v>
      </c>
      <c r="E36" s="118" t="s">
        <v>31</v>
      </c>
      <c r="F36" s="119" t="s">
        <v>127</v>
      </c>
      <c r="G36" s="101" t="s">
        <v>474</v>
      </c>
      <c r="H36" s="102" t="s">
        <v>304</v>
      </c>
      <c r="I36" s="102" t="s">
        <v>475</v>
      </c>
      <c r="J36" s="101" t="s">
        <v>476</v>
      </c>
      <c r="K36" s="103" t="n">
        <f aca="false">IF(B36="Yes",Overview!$C$5,0)</f>
        <v>20</v>
      </c>
      <c r="L36" s="98" t="s">
        <v>151</v>
      </c>
      <c r="M36" s="104"/>
    </row>
    <row r="37" customFormat="false" ht="45" hidden="false" customHeight="true" outlineLevel="0" collapsed="false">
      <c r="A37" s="117" t="n">
        <f aca="false">IF(B37="Yes",COUNTIF(B$6:B37,"Yes"),"—")</f>
        <v>30</v>
      </c>
      <c r="B37" s="98" t="s">
        <v>180</v>
      </c>
      <c r="C37" s="61" t="n">
        <f aca="false">IF(B37="Yes",Overview!$C$4+7*(COUNTIF(B$6:B37,"Yes")-1),"—")</f>
        <v>46510</v>
      </c>
      <c r="D37" s="61" t="n">
        <f aca="false">IF(B37="Yes",C37+6,"—")</f>
        <v>46516</v>
      </c>
      <c r="E37" s="118" t="s">
        <v>31</v>
      </c>
      <c r="F37" s="119" t="s">
        <v>127</v>
      </c>
      <c r="G37" s="101" t="s">
        <v>477</v>
      </c>
      <c r="H37" s="102" t="s">
        <v>308</v>
      </c>
      <c r="I37" s="102" t="s">
        <v>478</v>
      </c>
      <c r="J37" s="101" t="s">
        <v>479</v>
      </c>
      <c r="K37" s="103" t="n">
        <f aca="false">IF(B37="Yes",Overview!$C$5,0)</f>
        <v>20</v>
      </c>
      <c r="L37" s="98" t="s">
        <v>151</v>
      </c>
      <c r="M37" s="104"/>
    </row>
    <row r="38" customFormat="false" ht="43.5" hidden="false" customHeight="true" outlineLevel="0" collapsed="false">
      <c r="A38" s="120" t="n">
        <f aca="false">IF(B38="Yes",COUNTIF(B$6:B38,"Yes"),"—")</f>
        <v>31</v>
      </c>
      <c r="B38" s="98" t="s">
        <v>180</v>
      </c>
      <c r="C38" s="61" t="n">
        <f aca="false">IF(B38="Yes",Overview!$C$4+7*(COUNTIF(B$6:B38,"Yes")-1),"—")</f>
        <v>46517</v>
      </c>
      <c r="D38" s="61" t="n">
        <f aca="false">IF(B38="Yes",C38+6,"—")</f>
        <v>46523</v>
      </c>
      <c r="E38" s="121" t="s">
        <v>32</v>
      </c>
      <c r="F38" s="122" t="s">
        <v>128</v>
      </c>
      <c r="G38" s="101" t="s">
        <v>480</v>
      </c>
      <c r="H38" s="102" t="s">
        <v>481</v>
      </c>
      <c r="I38" s="102" t="s">
        <v>482</v>
      </c>
      <c r="J38" s="101" t="s">
        <v>483</v>
      </c>
      <c r="K38" s="103" t="n">
        <f aca="false">IF(B38="Yes",Overview!$C$5,0)</f>
        <v>20</v>
      </c>
      <c r="L38" s="98" t="s">
        <v>151</v>
      </c>
      <c r="M38" s="104" t="s">
        <v>484</v>
      </c>
    </row>
    <row r="39" customFormat="false" ht="43.5" hidden="false" customHeight="true" outlineLevel="0" collapsed="false">
      <c r="A39" s="120" t="n">
        <f aca="false">IF(B39="Yes",COUNTIF(B$6:B39,"Yes"),"—")</f>
        <v>32</v>
      </c>
      <c r="B39" s="98" t="s">
        <v>180</v>
      </c>
      <c r="C39" s="61" t="n">
        <f aca="false">IF(B39="Yes",Overview!$C$4+7*(COUNTIF(B$6:B39,"Yes")-1),"—")</f>
        <v>46524</v>
      </c>
      <c r="D39" s="61" t="n">
        <f aca="false">IF(B39="Yes",C39+6,"—")</f>
        <v>46530</v>
      </c>
      <c r="E39" s="121" t="s">
        <v>32</v>
      </c>
      <c r="F39" s="122" t="s">
        <v>128</v>
      </c>
      <c r="G39" s="101" t="s">
        <v>485</v>
      </c>
      <c r="H39" s="102" t="s">
        <v>486</v>
      </c>
      <c r="I39" s="102" t="s">
        <v>487</v>
      </c>
      <c r="J39" s="101" t="s">
        <v>483</v>
      </c>
      <c r="K39" s="103" t="n">
        <f aca="false">IF(B39="Yes",Overview!$C$5,0)</f>
        <v>20</v>
      </c>
      <c r="L39" s="98" t="s">
        <v>151</v>
      </c>
      <c r="M39" s="104" t="s">
        <v>484</v>
      </c>
    </row>
    <row r="40" customFormat="false" ht="57.75" hidden="false" customHeight="true" outlineLevel="0" collapsed="false">
      <c r="A40" s="120" t="n">
        <f aca="false">IF(B40="Yes",COUNTIF(B$6:B40,"Yes"),"—")</f>
        <v>33</v>
      </c>
      <c r="B40" s="98" t="s">
        <v>180</v>
      </c>
      <c r="C40" s="61" t="n">
        <f aca="false">IF(B40="Yes",Overview!$C$4+7*(COUNTIF(B$6:B40,"Yes")-1),"—")</f>
        <v>46531</v>
      </c>
      <c r="D40" s="61" t="n">
        <f aca="false">IF(B40="Yes",C40+6,"—")</f>
        <v>46537</v>
      </c>
      <c r="E40" s="121" t="s">
        <v>32</v>
      </c>
      <c r="F40" s="122" t="s">
        <v>128</v>
      </c>
      <c r="G40" s="101" t="s">
        <v>488</v>
      </c>
      <c r="H40" s="102" t="s">
        <v>489</v>
      </c>
      <c r="I40" s="102" t="s">
        <v>490</v>
      </c>
      <c r="J40" s="101" t="s">
        <v>491</v>
      </c>
      <c r="K40" s="103" t="n">
        <f aca="false">IF(B40="Yes",Overview!$C$5,0)</f>
        <v>20</v>
      </c>
      <c r="L40" s="98" t="s">
        <v>151</v>
      </c>
      <c r="M40" s="104" t="s">
        <v>484</v>
      </c>
    </row>
    <row r="41" customFormat="false" ht="43.5" hidden="false" customHeight="true" outlineLevel="0" collapsed="false">
      <c r="A41" s="123" t="n">
        <f aca="false">IF(B41="Yes",COUNTIF(B$6:B41,"Yes"),"—")</f>
        <v>34</v>
      </c>
      <c r="B41" s="98" t="s">
        <v>180</v>
      </c>
      <c r="C41" s="61" t="n">
        <f aca="false">IF(B41="Yes",Overview!$C$4+7*(COUNTIF(B$6:B41,"Yes")-1),"—")</f>
        <v>46538</v>
      </c>
      <c r="D41" s="61" t="n">
        <f aca="false">IF(B41="Yes",C41+6,"—")</f>
        <v>46544</v>
      </c>
      <c r="E41" s="124" t="s">
        <v>35</v>
      </c>
      <c r="F41" s="125" t="s">
        <v>98</v>
      </c>
      <c r="G41" s="101" t="s">
        <v>492</v>
      </c>
      <c r="H41" s="102" t="s">
        <v>172</v>
      </c>
      <c r="I41" s="102" t="s">
        <v>173</v>
      </c>
      <c r="J41" s="101" t="s">
        <v>493</v>
      </c>
      <c r="K41" s="103" t="n">
        <f aca="false">IF(B41="Yes",Overview!$C$5,0)</f>
        <v>20</v>
      </c>
      <c r="L41" s="98" t="s">
        <v>151</v>
      </c>
      <c r="M41" s="104"/>
    </row>
    <row r="42" customFormat="false" ht="43.5" hidden="false" customHeight="true" outlineLevel="0" collapsed="false">
      <c r="A42" s="123" t="n">
        <f aca="false">IF(B42="Yes",COUNTIF(B$6:B42,"Yes"),"—")</f>
        <v>35</v>
      </c>
      <c r="B42" s="98" t="s">
        <v>180</v>
      </c>
      <c r="C42" s="61" t="n">
        <f aca="false">IF(B42="Yes",Overview!$C$4+7*(COUNTIF(B$6:B42,"Yes")-1),"—")</f>
        <v>46545</v>
      </c>
      <c r="D42" s="61" t="n">
        <f aca="false">IF(B42="Yes",C42+6,"—")</f>
        <v>46551</v>
      </c>
      <c r="E42" s="124" t="s">
        <v>35</v>
      </c>
      <c r="F42" s="125" t="s">
        <v>98</v>
      </c>
      <c r="G42" s="101" t="s">
        <v>494</v>
      </c>
      <c r="H42" s="102" t="s">
        <v>177</v>
      </c>
      <c r="I42" s="102" t="s">
        <v>495</v>
      </c>
      <c r="J42" s="101" t="s">
        <v>493</v>
      </c>
      <c r="K42" s="103" t="n">
        <f aca="false">IF(B42="Yes",Overview!$C$5,0)</f>
        <v>20</v>
      </c>
      <c r="L42" s="98" t="s">
        <v>151</v>
      </c>
      <c r="M42" s="104"/>
    </row>
    <row r="43" customFormat="false" ht="43.5" hidden="false" customHeight="true" outlineLevel="0" collapsed="false">
      <c r="A43" s="123" t="n">
        <f aca="false">IF(B43="Yes",COUNTIF(B$6:B43,"Yes"),"—")</f>
        <v>36</v>
      </c>
      <c r="B43" s="98" t="s">
        <v>180</v>
      </c>
      <c r="C43" s="61" t="n">
        <f aca="false">IF(B43="Yes",Overview!$C$4+7*(COUNTIF(B$6:B43,"Yes")-1),"—")</f>
        <v>46552</v>
      </c>
      <c r="D43" s="61" t="n">
        <f aca="false">IF(B43="Yes",C43+6,"—")</f>
        <v>46558</v>
      </c>
      <c r="E43" s="124" t="s">
        <v>35</v>
      </c>
      <c r="F43" s="125" t="s">
        <v>98</v>
      </c>
      <c r="G43" s="101" t="s">
        <v>496</v>
      </c>
      <c r="H43" s="102" t="s">
        <v>195</v>
      </c>
      <c r="I43" s="102" t="s">
        <v>497</v>
      </c>
      <c r="J43" s="101" t="s">
        <v>493</v>
      </c>
      <c r="K43" s="103" t="n">
        <f aca="false">IF(B43="Yes",Overview!$C$5,0)</f>
        <v>20</v>
      </c>
      <c r="L43" s="98" t="s">
        <v>151</v>
      </c>
      <c r="M43" s="104"/>
    </row>
    <row r="44" customFormat="false" ht="45" hidden="false" customHeight="true" outlineLevel="0" collapsed="false">
      <c r="A44" s="123" t="n">
        <f aca="false">IF(B44="Yes",COUNTIF(B$6:B44,"Yes"),"—")</f>
        <v>37</v>
      </c>
      <c r="B44" s="98" t="s">
        <v>180</v>
      </c>
      <c r="C44" s="61" t="n">
        <f aca="false">IF(B44="Yes",Overview!$C$4+7*(COUNTIF(B$6:B44,"Yes")-1),"—")</f>
        <v>46559</v>
      </c>
      <c r="D44" s="61" t="n">
        <f aca="false">IF(B44="Yes",C44+6,"—")</f>
        <v>46565</v>
      </c>
      <c r="E44" s="124" t="s">
        <v>35</v>
      </c>
      <c r="F44" s="125" t="s">
        <v>98</v>
      </c>
      <c r="G44" s="101" t="s">
        <v>498</v>
      </c>
      <c r="H44" s="102" t="s">
        <v>172</v>
      </c>
      <c r="I44" s="102" t="s">
        <v>499</v>
      </c>
      <c r="J44" s="101" t="s">
        <v>500</v>
      </c>
      <c r="K44" s="103" t="n">
        <f aca="false">IF(B44="Yes",Overview!$C$5,0)</f>
        <v>20</v>
      </c>
      <c r="L44" s="98" t="s">
        <v>151</v>
      </c>
      <c r="M44" s="104"/>
    </row>
    <row r="45" customFormat="false" ht="43.5" hidden="false" customHeight="true" outlineLevel="0" collapsed="false">
      <c r="A45" s="123" t="n">
        <f aca="false">IF(B45="Yes",COUNTIF(B$6:B45,"Yes"),"—")</f>
        <v>38</v>
      </c>
      <c r="B45" s="98" t="s">
        <v>180</v>
      </c>
      <c r="C45" s="61" t="n">
        <f aca="false">IF(B45="Yes",Overview!$C$4+7*(COUNTIF(B$6:B45,"Yes")-1),"—")</f>
        <v>46566</v>
      </c>
      <c r="D45" s="61" t="n">
        <f aca="false">IF(B45="Yes",C45+6,"—")</f>
        <v>46572</v>
      </c>
      <c r="E45" s="124" t="s">
        <v>35</v>
      </c>
      <c r="F45" s="125" t="s">
        <v>111</v>
      </c>
      <c r="G45" s="101" t="s">
        <v>501</v>
      </c>
      <c r="H45" s="102" t="s">
        <v>256</v>
      </c>
      <c r="I45" s="102" t="s">
        <v>502</v>
      </c>
      <c r="J45" s="101" t="s">
        <v>503</v>
      </c>
      <c r="K45" s="103" t="n">
        <f aca="false">IF(B45="Yes",Overview!$C$5,0)</f>
        <v>20</v>
      </c>
      <c r="L45" s="98" t="s">
        <v>151</v>
      </c>
      <c r="M45" s="104"/>
    </row>
    <row r="46" customFormat="false" ht="45" hidden="false" customHeight="true" outlineLevel="0" collapsed="false">
      <c r="A46" s="123" t="n">
        <f aca="false">IF(B46="Yes",COUNTIF(B$6:B46,"Yes"),"—")</f>
        <v>39</v>
      </c>
      <c r="B46" s="98" t="s">
        <v>180</v>
      </c>
      <c r="C46" s="61" t="n">
        <f aca="false">IF(B46="Yes",Overview!$C$4+7*(COUNTIF(B$6:B46,"Yes")-1),"—")</f>
        <v>46573</v>
      </c>
      <c r="D46" s="61" t="n">
        <f aca="false">IF(B46="Yes",C46+6,"—")</f>
        <v>46579</v>
      </c>
      <c r="E46" s="124" t="s">
        <v>35</v>
      </c>
      <c r="F46" s="125" t="s">
        <v>111</v>
      </c>
      <c r="G46" s="101" t="s">
        <v>504</v>
      </c>
      <c r="H46" s="102" t="s">
        <v>299</v>
      </c>
      <c r="I46" s="102" t="s">
        <v>505</v>
      </c>
      <c r="J46" s="101" t="s">
        <v>506</v>
      </c>
      <c r="K46" s="103" t="n">
        <f aca="false">IF(B46="Yes",Overview!$C$5,0)</f>
        <v>20</v>
      </c>
      <c r="L46" s="98" t="s">
        <v>151</v>
      </c>
      <c r="M46" s="104"/>
    </row>
    <row r="47" customFormat="false" ht="43.5" hidden="false" customHeight="true" outlineLevel="0" collapsed="false">
      <c r="A47" s="126" t="str">
        <f aca="false">IF(B47="Yes",COUNTIF(B$6:B47,"Yes"),"—")</f>
        <v>—</v>
      </c>
      <c r="B47" s="98" t="s">
        <v>302</v>
      </c>
      <c r="C47" s="61" t="str">
        <f aca="false">IF(B47="Yes",Overview!$C$4+7*(COUNTIF(B$6:B47,"Yes")-1),"—")</f>
        <v>—</v>
      </c>
      <c r="D47" s="61" t="str">
        <f aca="false">IF(B47="Yes",C47+6,"—")</f>
        <v>—</v>
      </c>
      <c r="E47" s="127" t="s">
        <v>37</v>
      </c>
      <c r="F47" s="128" t="s">
        <v>129</v>
      </c>
      <c r="G47" s="101" t="s">
        <v>507</v>
      </c>
      <c r="H47" s="102" t="s">
        <v>172</v>
      </c>
      <c r="I47" s="102" t="s">
        <v>508</v>
      </c>
      <c r="J47" s="101" t="s">
        <v>509</v>
      </c>
      <c r="K47" s="103" t="n">
        <f aca="false">IF(B47="Yes",Overview!$C$5,0)</f>
        <v>0</v>
      </c>
      <c r="L47" s="98" t="s">
        <v>151</v>
      </c>
      <c r="M47" s="104"/>
    </row>
    <row r="48" customFormat="false" ht="43.5" hidden="false" customHeight="true" outlineLevel="0" collapsed="false">
      <c r="A48" s="126" t="str">
        <f aca="false">IF(B48="Yes",COUNTIF(B$6:B48,"Yes"),"—")</f>
        <v>—</v>
      </c>
      <c r="B48" s="98" t="s">
        <v>302</v>
      </c>
      <c r="C48" s="61" t="str">
        <f aca="false">IF(B48="Yes",Overview!$C$4+7*(COUNTIF(B$6:B48,"Yes")-1),"—")</f>
        <v>—</v>
      </c>
      <c r="D48" s="61" t="str">
        <f aca="false">IF(B48="Yes",C48+6,"—")</f>
        <v>—</v>
      </c>
      <c r="E48" s="127" t="s">
        <v>37</v>
      </c>
      <c r="F48" s="128" t="s">
        <v>129</v>
      </c>
      <c r="G48" s="101" t="s">
        <v>507</v>
      </c>
      <c r="H48" s="102" t="s">
        <v>192</v>
      </c>
      <c r="I48" s="102" t="s">
        <v>508</v>
      </c>
      <c r="J48" s="101" t="s">
        <v>509</v>
      </c>
      <c r="K48" s="103" t="n">
        <f aca="false">IF(B48="Yes",Overview!$C$5,0)</f>
        <v>0</v>
      </c>
      <c r="L48" s="98" t="s">
        <v>151</v>
      </c>
      <c r="M48" s="104"/>
    </row>
    <row r="49" customFormat="false" ht="43.5" hidden="false" customHeight="true" outlineLevel="0" collapsed="false">
      <c r="A49" s="126" t="str">
        <f aca="false">IF(B49="Yes",COUNTIF(B$6:B49,"Yes"),"—")</f>
        <v>—</v>
      </c>
      <c r="B49" s="98" t="s">
        <v>302</v>
      </c>
      <c r="C49" s="61" t="str">
        <f aca="false">IF(B49="Yes",Overview!$C$4+7*(COUNTIF(B$6:B49,"Yes")-1),"—")</f>
        <v>—</v>
      </c>
      <c r="D49" s="61" t="str">
        <f aca="false">IF(B49="Yes",C49+6,"—")</f>
        <v>—</v>
      </c>
      <c r="E49" s="127" t="s">
        <v>37</v>
      </c>
      <c r="F49" s="128" t="s">
        <v>129</v>
      </c>
      <c r="G49" s="101" t="s">
        <v>507</v>
      </c>
      <c r="H49" s="102" t="s">
        <v>195</v>
      </c>
      <c r="I49" s="102" t="s">
        <v>508</v>
      </c>
      <c r="J49" s="101" t="s">
        <v>509</v>
      </c>
      <c r="K49" s="103" t="n">
        <f aca="false">IF(B49="Yes",Overview!$C$5,0)</f>
        <v>0</v>
      </c>
      <c r="L49" s="98" t="s">
        <v>151</v>
      </c>
      <c r="M49" s="104"/>
    </row>
    <row r="50" customFormat="false" ht="43.5" hidden="false" customHeight="true" outlineLevel="0" collapsed="false">
      <c r="A50" s="126" t="str">
        <f aca="false">IF(B50="Yes",COUNTIF(B$6:B50,"Yes"),"—")</f>
        <v>—</v>
      </c>
      <c r="B50" s="98" t="s">
        <v>302</v>
      </c>
      <c r="C50" s="61" t="str">
        <f aca="false">IF(B50="Yes",Overview!$C$4+7*(COUNTIF(B$6:B50,"Yes")-1),"—")</f>
        <v>—</v>
      </c>
      <c r="D50" s="61" t="str">
        <f aca="false">IF(B50="Yes",C50+6,"—")</f>
        <v>—</v>
      </c>
      <c r="E50" s="127" t="s">
        <v>37</v>
      </c>
      <c r="F50" s="128" t="s">
        <v>129</v>
      </c>
      <c r="G50" s="101" t="s">
        <v>507</v>
      </c>
      <c r="H50" s="102" t="s">
        <v>172</v>
      </c>
      <c r="I50" s="102" t="s">
        <v>508</v>
      </c>
      <c r="J50" s="101" t="s">
        <v>509</v>
      </c>
      <c r="K50" s="103" t="n">
        <f aca="false">IF(B50="Yes",Overview!$C$5,0)</f>
        <v>0</v>
      </c>
      <c r="L50" s="98" t="s">
        <v>151</v>
      </c>
      <c r="M50" s="104"/>
    </row>
    <row r="51" customFormat="false" ht="43.5" hidden="false" customHeight="true" outlineLevel="0" collapsed="false">
      <c r="A51" s="126" t="str">
        <f aca="false">IF(B51="Yes",COUNTIF(B$6:B51,"Yes"),"—")</f>
        <v>—</v>
      </c>
      <c r="B51" s="98" t="s">
        <v>302</v>
      </c>
      <c r="C51" s="61" t="str">
        <f aca="false">IF(B51="Yes",Overview!$C$4+7*(COUNTIF(B$6:B51,"Yes")-1),"—")</f>
        <v>—</v>
      </c>
      <c r="D51" s="61" t="str">
        <f aca="false">IF(B51="Yes",C51+6,"—")</f>
        <v>—</v>
      </c>
      <c r="E51" s="127" t="s">
        <v>37</v>
      </c>
      <c r="F51" s="128" t="s">
        <v>129</v>
      </c>
      <c r="G51" s="101" t="s">
        <v>510</v>
      </c>
      <c r="H51" s="102" t="s">
        <v>192</v>
      </c>
      <c r="I51" s="102" t="s">
        <v>511</v>
      </c>
      <c r="J51" s="101" t="s">
        <v>509</v>
      </c>
      <c r="K51" s="103" t="n">
        <f aca="false">IF(B51="Yes",Overview!$C$5,0)</f>
        <v>0</v>
      </c>
      <c r="L51" s="98" t="s">
        <v>151</v>
      </c>
      <c r="M51" s="104"/>
    </row>
    <row r="52" customFormat="false" ht="43.5" hidden="false" customHeight="true" outlineLevel="0" collapsed="false">
      <c r="A52" s="126" t="str">
        <f aca="false">IF(B52="Yes",COUNTIF(B$6:B52,"Yes"),"—")</f>
        <v>—</v>
      </c>
      <c r="B52" s="98" t="s">
        <v>302</v>
      </c>
      <c r="C52" s="61" t="str">
        <f aca="false">IF(B52="Yes",Overview!$C$4+7*(COUNTIF(B$6:B52,"Yes")-1),"—")</f>
        <v>—</v>
      </c>
      <c r="D52" s="61" t="str">
        <f aca="false">IF(B52="Yes",C52+6,"—")</f>
        <v>—</v>
      </c>
      <c r="E52" s="127" t="s">
        <v>37</v>
      </c>
      <c r="F52" s="128" t="s">
        <v>129</v>
      </c>
      <c r="G52" s="101" t="s">
        <v>510</v>
      </c>
      <c r="H52" s="102" t="s">
        <v>195</v>
      </c>
      <c r="I52" s="102" t="s">
        <v>511</v>
      </c>
      <c r="J52" s="101" t="s">
        <v>509</v>
      </c>
      <c r="K52" s="103" t="n">
        <f aca="false">IF(B52="Yes",Overview!$C$5,0)</f>
        <v>0</v>
      </c>
      <c r="L52" s="98" t="s">
        <v>151</v>
      </c>
      <c r="M52" s="104"/>
    </row>
    <row r="53" customFormat="false" ht="43.5" hidden="false" customHeight="true" outlineLevel="0" collapsed="false">
      <c r="A53" s="126" t="str">
        <f aca="false">IF(B53="Yes",COUNTIF(B$6:B53,"Yes"),"—")</f>
        <v>—</v>
      </c>
      <c r="B53" s="98" t="s">
        <v>302</v>
      </c>
      <c r="C53" s="61" t="str">
        <f aca="false">IF(B53="Yes",Overview!$C$4+7*(COUNTIF(B$6:B53,"Yes")-1),"—")</f>
        <v>—</v>
      </c>
      <c r="D53" s="61" t="str">
        <f aca="false">IF(B53="Yes",C53+6,"—")</f>
        <v>—</v>
      </c>
      <c r="E53" s="127" t="s">
        <v>37</v>
      </c>
      <c r="F53" s="128" t="s">
        <v>129</v>
      </c>
      <c r="G53" s="101" t="s">
        <v>510</v>
      </c>
      <c r="H53" s="102" t="s">
        <v>172</v>
      </c>
      <c r="I53" s="102" t="s">
        <v>511</v>
      </c>
      <c r="J53" s="101" t="s">
        <v>509</v>
      </c>
      <c r="K53" s="103" t="n">
        <f aca="false">IF(B53="Yes",Overview!$C$5,0)</f>
        <v>0</v>
      </c>
      <c r="L53" s="98" t="s">
        <v>151</v>
      </c>
      <c r="M53" s="104"/>
    </row>
    <row r="54" customFormat="false" ht="43.5" hidden="false" customHeight="true" outlineLevel="0" collapsed="false">
      <c r="A54" s="126" t="str">
        <f aca="false">IF(B54="Yes",COUNTIF(B$6:B54,"Yes"),"—")</f>
        <v>—</v>
      </c>
      <c r="B54" s="98" t="s">
        <v>302</v>
      </c>
      <c r="C54" s="61" t="str">
        <f aca="false">IF(B54="Yes",Overview!$C$4+7*(COUNTIF(B$6:B54,"Yes")-1),"—")</f>
        <v>—</v>
      </c>
      <c r="D54" s="61" t="str">
        <f aca="false">IF(B54="Yes",C54+6,"—")</f>
        <v>—</v>
      </c>
      <c r="E54" s="127" t="s">
        <v>37</v>
      </c>
      <c r="F54" s="128" t="s">
        <v>129</v>
      </c>
      <c r="G54" s="101" t="s">
        <v>510</v>
      </c>
      <c r="H54" s="102" t="s">
        <v>192</v>
      </c>
      <c r="I54" s="102" t="s">
        <v>511</v>
      </c>
      <c r="J54" s="101" t="s">
        <v>509</v>
      </c>
      <c r="K54" s="103" t="n">
        <f aca="false">IF(B54="Yes",Overview!$C$5,0)</f>
        <v>0</v>
      </c>
      <c r="L54" s="98" t="s">
        <v>151</v>
      </c>
      <c r="M54" s="104"/>
    </row>
    <row r="55" customFormat="false" ht="43.5" hidden="false" customHeight="true" outlineLevel="0" collapsed="false">
      <c r="A55" s="126" t="str">
        <f aca="false">IF(B55="Yes",COUNTIF(B$6:B55,"Yes"),"—")</f>
        <v>—</v>
      </c>
      <c r="B55" s="98" t="s">
        <v>302</v>
      </c>
      <c r="C55" s="61" t="str">
        <f aca="false">IF(B55="Yes",Overview!$C$4+7*(COUNTIF(B$6:B55,"Yes")-1),"—")</f>
        <v>—</v>
      </c>
      <c r="D55" s="61" t="str">
        <f aca="false">IF(B55="Yes",C55+6,"—")</f>
        <v>—</v>
      </c>
      <c r="E55" s="127" t="s">
        <v>37</v>
      </c>
      <c r="F55" s="128" t="s">
        <v>129</v>
      </c>
      <c r="G55" s="101" t="s">
        <v>512</v>
      </c>
      <c r="H55" s="102" t="s">
        <v>195</v>
      </c>
      <c r="I55" s="102" t="s">
        <v>513</v>
      </c>
      <c r="J55" s="101" t="s">
        <v>509</v>
      </c>
      <c r="K55" s="103" t="n">
        <f aca="false">IF(B55="Yes",Overview!$C$5,0)</f>
        <v>0</v>
      </c>
      <c r="L55" s="98" t="s">
        <v>151</v>
      </c>
      <c r="M55" s="104"/>
    </row>
    <row r="56" customFormat="false" ht="43.5" hidden="false" customHeight="true" outlineLevel="0" collapsed="false">
      <c r="A56" s="126" t="str">
        <f aca="false">IF(B56="Yes",COUNTIF(B$6:B56,"Yes"),"—")</f>
        <v>—</v>
      </c>
      <c r="B56" s="98" t="s">
        <v>302</v>
      </c>
      <c r="C56" s="61" t="str">
        <f aca="false">IF(B56="Yes",Overview!$C$4+7*(COUNTIF(B$6:B56,"Yes")-1),"—")</f>
        <v>—</v>
      </c>
      <c r="D56" s="61" t="str">
        <f aca="false">IF(B56="Yes",C56+6,"—")</f>
        <v>—</v>
      </c>
      <c r="E56" s="127" t="s">
        <v>37</v>
      </c>
      <c r="F56" s="128" t="s">
        <v>129</v>
      </c>
      <c r="G56" s="101" t="s">
        <v>512</v>
      </c>
      <c r="H56" s="102" t="s">
        <v>172</v>
      </c>
      <c r="I56" s="102" t="s">
        <v>513</v>
      </c>
      <c r="J56" s="101" t="s">
        <v>509</v>
      </c>
      <c r="K56" s="103" t="n">
        <f aca="false">IF(B56="Yes",Overview!$C$5,0)</f>
        <v>0</v>
      </c>
      <c r="L56" s="98" t="s">
        <v>151</v>
      </c>
      <c r="M56" s="104"/>
    </row>
    <row r="57" customFormat="false" ht="43.5" hidden="false" customHeight="true" outlineLevel="0" collapsed="false">
      <c r="A57" s="126" t="str">
        <f aca="false">IF(B57="Yes",COUNTIF(B$6:B57,"Yes"),"—")</f>
        <v>—</v>
      </c>
      <c r="B57" s="98" t="s">
        <v>302</v>
      </c>
      <c r="C57" s="61" t="str">
        <f aca="false">IF(B57="Yes",Overview!$C$4+7*(COUNTIF(B$6:B57,"Yes")-1),"—")</f>
        <v>—</v>
      </c>
      <c r="D57" s="61" t="str">
        <f aca="false">IF(B57="Yes",C57+6,"—")</f>
        <v>—</v>
      </c>
      <c r="E57" s="127" t="s">
        <v>37</v>
      </c>
      <c r="F57" s="128" t="s">
        <v>129</v>
      </c>
      <c r="G57" s="101" t="s">
        <v>512</v>
      </c>
      <c r="H57" s="102" t="s">
        <v>192</v>
      </c>
      <c r="I57" s="102" t="s">
        <v>513</v>
      </c>
      <c r="J57" s="101" t="s">
        <v>509</v>
      </c>
      <c r="K57" s="103" t="n">
        <f aca="false">IF(B57="Yes",Overview!$C$5,0)</f>
        <v>0</v>
      </c>
      <c r="L57" s="98" t="s">
        <v>151</v>
      </c>
      <c r="M57" s="104"/>
    </row>
    <row r="58" customFormat="false" ht="43.5" hidden="false" customHeight="true" outlineLevel="0" collapsed="false">
      <c r="A58" s="126" t="str">
        <f aca="false">IF(B58="Yes",COUNTIF(B$6:B58,"Yes"),"—")</f>
        <v>—</v>
      </c>
      <c r="B58" s="98" t="s">
        <v>302</v>
      </c>
      <c r="C58" s="61" t="str">
        <f aca="false">IF(B58="Yes",Overview!$C$4+7*(COUNTIF(B$6:B58,"Yes")-1),"—")</f>
        <v>—</v>
      </c>
      <c r="D58" s="61" t="str">
        <f aca="false">IF(B58="Yes",C58+6,"—")</f>
        <v>—</v>
      </c>
      <c r="E58" s="127" t="s">
        <v>37</v>
      </c>
      <c r="F58" s="128" t="s">
        <v>129</v>
      </c>
      <c r="G58" s="101" t="s">
        <v>512</v>
      </c>
      <c r="H58" s="102" t="s">
        <v>195</v>
      </c>
      <c r="I58" s="102" t="s">
        <v>513</v>
      </c>
      <c r="J58" s="101" t="s">
        <v>509</v>
      </c>
      <c r="K58" s="103" t="n">
        <f aca="false">IF(B58="Yes",Overview!$C$5,0)</f>
        <v>0</v>
      </c>
      <c r="L58" s="98" t="s">
        <v>151</v>
      </c>
      <c r="M58" s="104"/>
    </row>
    <row r="59" customFormat="false" ht="43.5" hidden="false" customHeight="true" outlineLevel="0" collapsed="false">
      <c r="A59" s="126" t="str">
        <f aca="false">IF(B59="Yes",COUNTIF(B$6:B59,"Yes"),"—")</f>
        <v>—</v>
      </c>
      <c r="B59" s="98" t="s">
        <v>302</v>
      </c>
      <c r="C59" s="61" t="str">
        <f aca="false">IF(B59="Yes",Overview!$C$4+7*(COUNTIF(B$6:B59,"Yes")-1),"—")</f>
        <v>—</v>
      </c>
      <c r="D59" s="61" t="str">
        <f aca="false">IF(B59="Yes",C59+6,"—")</f>
        <v>—</v>
      </c>
      <c r="E59" s="127" t="s">
        <v>37</v>
      </c>
      <c r="F59" s="128" t="s">
        <v>129</v>
      </c>
      <c r="G59" s="101" t="s">
        <v>514</v>
      </c>
      <c r="H59" s="102" t="s">
        <v>172</v>
      </c>
      <c r="I59" s="102" t="s">
        <v>515</v>
      </c>
      <c r="J59" s="101" t="s">
        <v>509</v>
      </c>
      <c r="K59" s="103" t="n">
        <f aca="false">IF(B59="Yes",Overview!$C$5,0)</f>
        <v>0</v>
      </c>
      <c r="L59" s="98" t="s">
        <v>151</v>
      </c>
      <c r="M59" s="104"/>
    </row>
    <row r="60" customFormat="false" ht="43.5" hidden="false" customHeight="true" outlineLevel="0" collapsed="false">
      <c r="A60" s="126" t="str">
        <f aca="false">IF(B60="Yes",COUNTIF(B$6:B60,"Yes"),"—")</f>
        <v>—</v>
      </c>
      <c r="B60" s="98" t="s">
        <v>302</v>
      </c>
      <c r="C60" s="61" t="str">
        <f aca="false">IF(B60="Yes",Overview!$C$4+7*(COUNTIF(B$6:B60,"Yes")-1),"—")</f>
        <v>—</v>
      </c>
      <c r="D60" s="61" t="str">
        <f aca="false">IF(B60="Yes",C60+6,"—")</f>
        <v>—</v>
      </c>
      <c r="E60" s="127" t="s">
        <v>37</v>
      </c>
      <c r="F60" s="128" t="s">
        <v>129</v>
      </c>
      <c r="G60" s="101" t="s">
        <v>514</v>
      </c>
      <c r="H60" s="102" t="s">
        <v>192</v>
      </c>
      <c r="I60" s="102" t="s">
        <v>515</v>
      </c>
      <c r="J60" s="101" t="s">
        <v>509</v>
      </c>
      <c r="K60" s="103" t="n">
        <f aca="false">IF(B60="Yes",Overview!$C$5,0)</f>
        <v>0</v>
      </c>
      <c r="L60" s="98" t="s">
        <v>151</v>
      </c>
      <c r="M60" s="104"/>
    </row>
    <row r="61" customFormat="false" ht="43.5" hidden="false" customHeight="true" outlineLevel="0" collapsed="false">
      <c r="A61" s="126" t="str">
        <f aca="false">IF(B61="Yes",COUNTIF(B$6:B61,"Yes"),"—")</f>
        <v>—</v>
      </c>
      <c r="B61" s="98" t="s">
        <v>302</v>
      </c>
      <c r="C61" s="61" t="str">
        <f aca="false">IF(B61="Yes",Overview!$C$4+7*(COUNTIF(B$6:B61,"Yes")-1),"—")</f>
        <v>—</v>
      </c>
      <c r="D61" s="61" t="str">
        <f aca="false">IF(B61="Yes",C61+6,"—")</f>
        <v>—</v>
      </c>
      <c r="E61" s="127" t="s">
        <v>37</v>
      </c>
      <c r="F61" s="128" t="s">
        <v>129</v>
      </c>
      <c r="G61" s="101" t="s">
        <v>514</v>
      </c>
      <c r="H61" s="102" t="s">
        <v>195</v>
      </c>
      <c r="I61" s="102" t="s">
        <v>515</v>
      </c>
      <c r="J61" s="101" t="s">
        <v>509</v>
      </c>
      <c r="K61" s="103" t="n">
        <f aca="false">IF(B61="Yes",Overview!$C$5,0)</f>
        <v>0</v>
      </c>
      <c r="L61" s="98" t="s">
        <v>151</v>
      </c>
      <c r="M61" s="104"/>
    </row>
    <row r="62" customFormat="false" ht="57.75" hidden="false" customHeight="true" outlineLevel="0" collapsed="false">
      <c r="A62" s="126" t="str">
        <f aca="false">IF(B62="Yes",COUNTIF(B$6:B62,"Yes"),"—")</f>
        <v>—</v>
      </c>
      <c r="B62" s="98" t="s">
        <v>302</v>
      </c>
      <c r="C62" s="61" t="str">
        <f aca="false">IF(B62="Yes",Overview!$C$4+7*(COUNTIF(B$6:B62,"Yes")-1),"—")</f>
        <v>—</v>
      </c>
      <c r="D62" s="61" t="str">
        <f aca="false">IF(B62="Yes",C62+6,"—")</f>
        <v>—</v>
      </c>
      <c r="E62" s="127" t="s">
        <v>37</v>
      </c>
      <c r="F62" s="128" t="s">
        <v>129</v>
      </c>
      <c r="G62" s="101" t="s">
        <v>514</v>
      </c>
      <c r="H62" s="102" t="s">
        <v>172</v>
      </c>
      <c r="I62" s="102" t="s">
        <v>515</v>
      </c>
      <c r="J62" s="101" t="s">
        <v>516</v>
      </c>
      <c r="K62" s="103" t="n">
        <f aca="false">IF(B62="Yes",Overview!$C$5,0)</f>
        <v>0</v>
      </c>
      <c r="L62" s="98" t="s">
        <v>151</v>
      </c>
      <c r="M62" s="104"/>
    </row>
    <row r="63" customFormat="false" ht="43.5" hidden="false" customHeight="true" outlineLevel="0" collapsed="false">
      <c r="A63" s="126" t="str">
        <f aca="false">IF(B63="Yes",COUNTIF(B$6:B63,"Yes"),"—")</f>
        <v>—</v>
      </c>
      <c r="B63" s="98" t="s">
        <v>302</v>
      </c>
      <c r="C63" s="61" t="str">
        <f aca="false">IF(B63="Yes",Overview!$C$4+7*(COUNTIF(B$6:B63,"Yes")-1),"—")</f>
        <v>—</v>
      </c>
      <c r="D63" s="61" t="str">
        <f aca="false">IF(B63="Yes",C63+6,"—")</f>
        <v>—</v>
      </c>
      <c r="E63" s="127" t="s">
        <v>37</v>
      </c>
      <c r="F63" s="128" t="s">
        <v>130</v>
      </c>
      <c r="G63" s="101" t="s">
        <v>517</v>
      </c>
      <c r="H63" s="102" t="s">
        <v>283</v>
      </c>
      <c r="I63" s="102" t="s">
        <v>518</v>
      </c>
      <c r="J63" s="101" t="s">
        <v>519</v>
      </c>
      <c r="K63" s="103" t="n">
        <f aca="false">IF(B63="Yes",Overview!$C$5,0)</f>
        <v>0</v>
      </c>
      <c r="L63" s="98" t="s">
        <v>151</v>
      </c>
      <c r="M63" s="104"/>
    </row>
    <row r="64" customFormat="false" ht="43.5" hidden="false" customHeight="true" outlineLevel="0" collapsed="false">
      <c r="A64" s="126" t="str">
        <f aca="false">IF(B64="Yes",COUNTIF(B$6:B64,"Yes"),"—")</f>
        <v>—</v>
      </c>
      <c r="B64" s="98" t="s">
        <v>302</v>
      </c>
      <c r="C64" s="61" t="str">
        <f aca="false">IF(B64="Yes",Overview!$C$4+7*(COUNTIF(B$6:B64,"Yes")-1),"—")</f>
        <v>—</v>
      </c>
      <c r="D64" s="61" t="str">
        <f aca="false">IF(B64="Yes",C64+6,"—")</f>
        <v>—</v>
      </c>
      <c r="E64" s="127" t="s">
        <v>37</v>
      </c>
      <c r="F64" s="128" t="s">
        <v>130</v>
      </c>
      <c r="G64" s="101" t="s">
        <v>520</v>
      </c>
      <c r="H64" s="102" t="s">
        <v>287</v>
      </c>
      <c r="I64" s="102" t="s">
        <v>521</v>
      </c>
      <c r="J64" s="101" t="s">
        <v>519</v>
      </c>
      <c r="K64" s="103" t="n">
        <f aca="false">IF(B64="Yes",Overview!$C$5,0)</f>
        <v>0</v>
      </c>
      <c r="L64" s="98" t="s">
        <v>151</v>
      </c>
      <c r="M64" s="104"/>
    </row>
    <row r="65" customFormat="false" ht="43.5" hidden="false" customHeight="true" outlineLevel="0" collapsed="false">
      <c r="A65" s="126" t="str">
        <f aca="false">IF(B65="Yes",COUNTIF(B$6:B65,"Yes"),"—")</f>
        <v>—</v>
      </c>
      <c r="B65" s="98" t="s">
        <v>302</v>
      </c>
      <c r="C65" s="61" t="str">
        <f aca="false">IF(B65="Yes",Overview!$C$4+7*(COUNTIF(B$6:B65,"Yes")-1),"—")</f>
        <v>—</v>
      </c>
      <c r="D65" s="61" t="str">
        <f aca="false">IF(B65="Yes",C65+6,"—")</f>
        <v>—</v>
      </c>
      <c r="E65" s="127" t="s">
        <v>37</v>
      </c>
      <c r="F65" s="128" t="s">
        <v>130</v>
      </c>
      <c r="G65" s="101" t="s">
        <v>522</v>
      </c>
      <c r="H65" s="102" t="s">
        <v>290</v>
      </c>
      <c r="I65" s="102" t="s">
        <v>523</v>
      </c>
      <c r="J65" s="101" t="s">
        <v>519</v>
      </c>
      <c r="K65" s="103" t="n">
        <f aca="false">IF(B65="Yes",Overview!$C$5,0)</f>
        <v>0</v>
      </c>
      <c r="L65" s="98" t="s">
        <v>151</v>
      </c>
      <c r="M65" s="104"/>
    </row>
    <row r="66" customFormat="false" ht="43.5" hidden="false" customHeight="true" outlineLevel="0" collapsed="false">
      <c r="A66" s="126" t="str">
        <f aca="false">IF(B66="Yes",COUNTIF(B$6:B66,"Yes"),"—")</f>
        <v>—</v>
      </c>
      <c r="B66" s="98" t="s">
        <v>302</v>
      </c>
      <c r="C66" s="61" t="str">
        <f aca="false">IF(B66="Yes",Overview!$C$4+7*(COUNTIF(B$6:B66,"Yes")-1),"—")</f>
        <v>—</v>
      </c>
      <c r="D66" s="61" t="str">
        <f aca="false">IF(B66="Yes",C66+6,"—")</f>
        <v>—</v>
      </c>
      <c r="E66" s="127" t="s">
        <v>37</v>
      </c>
      <c r="F66" s="128" t="s">
        <v>130</v>
      </c>
      <c r="G66" s="101" t="s">
        <v>524</v>
      </c>
      <c r="H66" s="102" t="s">
        <v>283</v>
      </c>
      <c r="I66" s="102" t="s">
        <v>525</v>
      </c>
      <c r="J66" s="101" t="s">
        <v>519</v>
      </c>
      <c r="K66" s="103" t="n">
        <f aca="false">IF(B66="Yes",Overview!$C$5,0)</f>
        <v>0</v>
      </c>
      <c r="L66" s="98" t="s">
        <v>151</v>
      </c>
      <c r="M66" s="104"/>
    </row>
    <row r="67" customFormat="false" ht="43.5" hidden="false" customHeight="true" outlineLevel="0" collapsed="false">
      <c r="A67" s="126" t="str">
        <f aca="false">IF(B67="Yes",COUNTIF(B$6:B67,"Yes"),"—")</f>
        <v>—</v>
      </c>
      <c r="B67" s="98" t="s">
        <v>302</v>
      </c>
      <c r="C67" s="61" t="str">
        <f aca="false">IF(B67="Yes",Overview!$C$4+7*(COUNTIF(B$6:B67,"Yes")-1),"—")</f>
        <v>—</v>
      </c>
      <c r="D67" s="61" t="str">
        <f aca="false">IF(B67="Yes",C67+6,"—")</f>
        <v>—</v>
      </c>
      <c r="E67" s="127" t="s">
        <v>37</v>
      </c>
      <c r="F67" s="128" t="s">
        <v>130</v>
      </c>
      <c r="G67" s="101" t="s">
        <v>526</v>
      </c>
      <c r="H67" s="102" t="s">
        <v>287</v>
      </c>
      <c r="I67" s="102" t="s">
        <v>527</v>
      </c>
      <c r="J67" s="101" t="s">
        <v>519</v>
      </c>
      <c r="K67" s="103" t="n">
        <f aca="false">IF(B67="Yes",Overview!$C$5,0)</f>
        <v>0</v>
      </c>
      <c r="L67" s="98" t="s">
        <v>151</v>
      </c>
      <c r="M67" s="104"/>
    </row>
    <row r="68" customFormat="false" ht="43.5" hidden="false" customHeight="true" outlineLevel="0" collapsed="false">
      <c r="A68" s="126" t="str">
        <f aca="false">IF(B68="Yes",COUNTIF(B$6:B68,"Yes"),"—")</f>
        <v>—</v>
      </c>
      <c r="B68" s="98" t="s">
        <v>302</v>
      </c>
      <c r="C68" s="61" t="str">
        <f aca="false">IF(B68="Yes",Overview!$C$4+7*(COUNTIF(B$6:B68,"Yes")-1),"—")</f>
        <v>—</v>
      </c>
      <c r="D68" s="61" t="str">
        <f aca="false">IF(B68="Yes",C68+6,"—")</f>
        <v>—</v>
      </c>
      <c r="E68" s="127" t="s">
        <v>37</v>
      </c>
      <c r="F68" s="128" t="s">
        <v>130</v>
      </c>
      <c r="G68" s="101" t="s">
        <v>528</v>
      </c>
      <c r="H68" s="102" t="s">
        <v>290</v>
      </c>
      <c r="I68" s="102" t="s">
        <v>529</v>
      </c>
      <c r="J68" s="101" t="s">
        <v>530</v>
      </c>
      <c r="K68" s="103" t="n">
        <f aca="false">IF(B68="Yes",Overview!$C$5,0)</f>
        <v>0</v>
      </c>
      <c r="L68" s="98" t="s">
        <v>151</v>
      </c>
      <c r="M68" s="104"/>
    </row>
    <row r="69" customFormat="false" ht="43.5" hidden="false" customHeight="true" outlineLevel="0" collapsed="false">
      <c r="A69" s="126" t="str">
        <f aca="false">IF(B69="Yes",COUNTIF(B$6:B69,"Yes"),"—")</f>
        <v>—</v>
      </c>
      <c r="B69" s="98" t="s">
        <v>302</v>
      </c>
      <c r="C69" s="61" t="str">
        <f aca="false">IF(B69="Yes",Overview!$C$4+7*(COUNTIF(B$6:B69,"Yes")-1),"—")</f>
        <v>—</v>
      </c>
      <c r="D69" s="61" t="str">
        <f aca="false">IF(B69="Yes",C69+6,"—")</f>
        <v>—</v>
      </c>
      <c r="E69" s="127" t="s">
        <v>37</v>
      </c>
      <c r="F69" s="128" t="s">
        <v>131</v>
      </c>
      <c r="G69" s="101" t="s">
        <v>531</v>
      </c>
      <c r="H69" s="102" t="s">
        <v>532</v>
      </c>
      <c r="I69" s="102" t="s">
        <v>533</v>
      </c>
      <c r="J69" s="101" t="s">
        <v>534</v>
      </c>
      <c r="K69" s="103" t="n">
        <f aca="false">IF(B69="Yes",Overview!$C$5,0)</f>
        <v>0</v>
      </c>
      <c r="L69" s="98" t="s">
        <v>151</v>
      </c>
      <c r="M69" s="104" t="s">
        <v>388</v>
      </c>
    </row>
    <row r="70" customFormat="false" ht="43.5" hidden="false" customHeight="true" outlineLevel="0" collapsed="false">
      <c r="A70" s="126" t="str">
        <f aca="false">IF(B70="Yes",COUNTIF(B$6:B70,"Yes"),"—")</f>
        <v>—</v>
      </c>
      <c r="B70" s="98" t="s">
        <v>302</v>
      </c>
      <c r="C70" s="61" t="str">
        <f aca="false">IF(B70="Yes",Overview!$C$4+7*(COUNTIF(B$6:B70,"Yes")-1),"—")</f>
        <v>—</v>
      </c>
      <c r="D70" s="61" t="str">
        <f aca="false">IF(B70="Yes",C70+6,"—")</f>
        <v>—</v>
      </c>
      <c r="E70" s="127" t="s">
        <v>37</v>
      </c>
      <c r="F70" s="128" t="s">
        <v>131</v>
      </c>
      <c r="G70" s="101" t="s">
        <v>535</v>
      </c>
      <c r="H70" s="102" t="s">
        <v>536</v>
      </c>
      <c r="I70" s="102" t="s">
        <v>537</v>
      </c>
      <c r="J70" s="101" t="s">
        <v>534</v>
      </c>
      <c r="K70" s="103" t="n">
        <f aca="false">IF(B70="Yes",Overview!$C$5,0)</f>
        <v>0</v>
      </c>
      <c r="L70" s="98" t="s">
        <v>151</v>
      </c>
      <c r="M70" s="104" t="s">
        <v>388</v>
      </c>
    </row>
    <row r="71" customFormat="false" ht="43.5" hidden="false" customHeight="true" outlineLevel="0" collapsed="false">
      <c r="A71" s="126" t="str">
        <f aca="false">IF(B71="Yes",COUNTIF(B$6:B71,"Yes"),"—")</f>
        <v>—</v>
      </c>
      <c r="B71" s="98" t="s">
        <v>302</v>
      </c>
      <c r="C71" s="61" t="str">
        <f aca="false">IF(B71="Yes",Overview!$C$4+7*(COUNTIF(B$6:B71,"Yes")-1),"—")</f>
        <v>—</v>
      </c>
      <c r="D71" s="61" t="str">
        <f aca="false">IF(B71="Yes",C71+6,"—")</f>
        <v>—</v>
      </c>
      <c r="E71" s="127" t="s">
        <v>37</v>
      </c>
      <c r="F71" s="128" t="s">
        <v>131</v>
      </c>
      <c r="G71" s="101" t="s">
        <v>538</v>
      </c>
      <c r="H71" s="102" t="s">
        <v>432</v>
      </c>
      <c r="I71" s="102" t="s">
        <v>539</v>
      </c>
      <c r="J71" s="101" t="s">
        <v>534</v>
      </c>
      <c r="K71" s="103" t="n">
        <f aca="false">IF(B71="Yes",Overview!$C$5,0)</f>
        <v>0</v>
      </c>
      <c r="L71" s="98" t="s">
        <v>151</v>
      </c>
      <c r="M71" s="104" t="s">
        <v>388</v>
      </c>
    </row>
    <row r="72" customFormat="false" ht="43.5" hidden="false" customHeight="true" outlineLevel="0" collapsed="false">
      <c r="A72" s="126" t="str">
        <f aca="false">IF(B72="Yes",COUNTIF(B$6:B72,"Yes"),"—")</f>
        <v>—</v>
      </c>
      <c r="B72" s="98" t="s">
        <v>302</v>
      </c>
      <c r="C72" s="61" t="str">
        <f aca="false">IF(B72="Yes",Overview!$C$4+7*(COUNTIF(B$6:B72,"Yes")-1),"—")</f>
        <v>—</v>
      </c>
      <c r="D72" s="61" t="str">
        <f aca="false">IF(B72="Yes",C72+6,"—")</f>
        <v>—</v>
      </c>
      <c r="E72" s="127" t="s">
        <v>37</v>
      </c>
      <c r="F72" s="128" t="s">
        <v>131</v>
      </c>
      <c r="G72" s="101" t="s">
        <v>540</v>
      </c>
      <c r="H72" s="102" t="s">
        <v>532</v>
      </c>
      <c r="I72" s="102" t="s">
        <v>541</v>
      </c>
      <c r="J72" s="101" t="s">
        <v>542</v>
      </c>
      <c r="K72" s="103" t="n">
        <f aca="false">IF(B72="Yes",Overview!$C$5,0)</f>
        <v>0</v>
      </c>
      <c r="L72" s="98" t="s">
        <v>151</v>
      </c>
      <c r="M72" s="104" t="s">
        <v>388</v>
      </c>
    </row>
    <row r="73" customFormat="false" ht="43.5" hidden="false" customHeight="true" outlineLevel="0" collapsed="false">
      <c r="A73" s="126" t="str">
        <f aca="false">IF(B73="Yes",COUNTIF(B$6:B73,"Yes"),"—")</f>
        <v>—</v>
      </c>
      <c r="B73" s="98" t="s">
        <v>302</v>
      </c>
      <c r="C73" s="61" t="str">
        <f aca="false">IF(B73="Yes",Overview!$C$4+7*(COUNTIF(B$6:B73,"Yes")-1),"—")</f>
        <v>—</v>
      </c>
      <c r="D73" s="61" t="str">
        <f aca="false">IF(B73="Yes",C73+6,"—")</f>
        <v>—</v>
      </c>
      <c r="E73" s="127" t="s">
        <v>37</v>
      </c>
      <c r="F73" s="128" t="s">
        <v>132</v>
      </c>
      <c r="G73" s="101" t="s">
        <v>543</v>
      </c>
      <c r="H73" s="102" t="s">
        <v>544</v>
      </c>
      <c r="I73" s="102" t="s">
        <v>545</v>
      </c>
      <c r="J73" s="101" t="s">
        <v>546</v>
      </c>
      <c r="K73" s="103" t="n">
        <f aca="false">IF(B73="Yes",Overview!$C$5,0)</f>
        <v>0</v>
      </c>
      <c r="L73" s="98" t="s">
        <v>151</v>
      </c>
      <c r="M73" s="104" t="s">
        <v>388</v>
      </c>
    </row>
    <row r="74" customFormat="false" ht="43.5" hidden="false" customHeight="true" outlineLevel="0" collapsed="false">
      <c r="A74" s="126" t="str">
        <f aca="false">IF(B74="Yes",COUNTIF(B$6:B74,"Yes"),"—")</f>
        <v>—</v>
      </c>
      <c r="B74" s="98" t="s">
        <v>302</v>
      </c>
      <c r="C74" s="61" t="str">
        <f aca="false">IF(B74="Yes",Overview!$C$4+7*(COUNTIF(B$6:B74,"Yes")-1),"—")</f>
        <v>—</v>
      </c>
      <c r="D74" s="61" t="str">
        <f aca="false">IF(B74="Yes",C74+6,"—")</f>
        <v>—</v>
      </c>
      <c r="E74" s="127" t="s">
        <v>37</v>
      </c>
      <c r="F74" s="128" t="s">
        <v>132</v>
      </c>
      <c r="G74" s="101" t="s">
        <v>547</v>
      </c>
      <c r="H74" s="102" t="s">
        <v>548</v>
      </c>
      <c r="I74" s="102" t="s">
        <v>549</v>
      </c>
      <c r="J74" s="101" t="s">
        <v>546</v>
      </c>
      <c r="K74" s="103" t="n">
        <f aca="false">IF(B74="Yes",Overview!$C$5,0)</f>
        <v>0</v>
      </c>
      <c r="L74" s="98" t="s">
        <v>151</v>
      </c>
      <c r="M74" s="104" t="s">
        <v>388</v>
      </c>
    </row>
    <row r="75" customFormat="false" ht="43.5" hidden="false" customHeight="true" outlineLevel="0" collapsed="false">
      <c r="A75" s="126" t="str">
        <f aca="false">IF(B75="Yes",COUNTIF(B$6:B75,"Yes"),"—")</f>
        <v>—</v>
      </c>
      <c r="B75" s="98" t="s">
        <v>302</v>
      </c>
      <c r="C75" s="61" t="str">
        <f aca="false">IF(B75="Yes",Overview!$C$4+7*(COUNTIF(B$6:B75,"Yes")-1),"—")</f>
        <v>—</v>
      </c>
      <c r="D75" s="61" t="str">
        <f aca="false">IF(B75="Yes",C75+6,"—")</f>
        <v>—</v>
      </c>
      <c r="E75" s="127" t="s">
        <v>37</v>
      </c>
      <c r="F75" s="128" t="s">
        <v>132</v>
      </c>
      <c r="G75" s="101" t="s">
        <v>550</v>
      </c>
      <c r="H75" s="102" t="s">
        <v>551</v>
      </c>
      <c r="I75" s="102" t="s">
        <v>552</v>
      </c>
      <c r="J75" s="101" t="s">
        <v>546</v>
      </c>
      <c r="K75" s="103" t="n">
        <f aca="false">IF(B75="Yes",Overview!$C$5,0)</f>
        <v>0</v>
      </c>
      <c r="L75" s="98" t="s">
        <v>151</v>
      </c>
      <c r="M75" s="104" t="s">
        <v>388</v>
      </c>
    </row>
    <row r="76" customFormat="false" ht="45" hidden="false" customHeight="true" outlineLevel="0" collapsed="false">
      <c r="A76" s="126" t="str">
        <f aca="false">IF(B76="Yes",COUNTIF(B$6:B76,"Yes"),"—")</f>
        <v>—</v>
      </c>
      <c r="B76" s="98" t="s">
        <v>302</v>
      </c>
      <c r="C76" s="61" t="str">
        <f aca="false">IF(B76="Yes",Overview!$C$4+7*(COUNTIF(B$6:B76,"Yes")-1),"—")</f>
        <v>—</v>
      </c>
      <c r="D76" s="61" t="str">
        <f aca="false">IF(B76="Yes",C76+6,"—")</f>
        <v>—</v>
      </c>
      <c r="E76" s="127" t="s">
        <v>37</v>
      </c>
      <c r="F76" s="128" t="s">
        <v>132</v>
      </c>
      <c r="G76" s="101" t="s">
        <v>553</v>
      </c>
      <c r="H76" s="102" t="s">
        <v>544</v>
      </c>
      <c r="I76" s="102" t="s">
        <v>554</v>
      </c>
      <c r="J76" s="101" t="s">
        <v>546</v>
      </c>
      <c r="K76" s="103" t="n">
        <f aca="false">IF(B76="Yes",Overview!$C$5,0)</f>
        <v>0</v>
      </c>
      <c r="L76" s="98" t="s">
        <v>151</v>
      </c>
      <c r="M76" s="104" t="s">
        <v>388</v>
      </c>
    </row>
    <row r="77" customFormat="false" ht="43.5" hidden="false" customHeight="true" outlineLevel="0" collapsed="false">
      <c r="A77" s="126" t="str">
        <f aca="false">IF(B77="Yes",COUNTIF(B$6:B77,"Yes"),"—")</f>
        <v>—</v>
      </c>
      <c r="B77" s="98" t="s">
        <v>302</v>
      </c>
      <c r="C77" s="61" t="str">
        <f aca="false">IF(B77="Yes",Overview!$C$4+7*(COUNTIF(B$6:B77,"Yes")-1),"—")</f>
        <v>—</v>
      </c>
      <c r="D77" s="61" t="str">
        <f aca="false">IF(B77="Yes",C77+6,"—")</f>
        <v>—</v>
      </c>
      <c r="E77" s="127" t="s">
        <v>37</v>
      </c>
      <c r="F77" s="128" t="s">
        <v>132</v>
      </c>
      <c r="G77" s="101" t="s">
        <v>555</v>
      </c>
      <c r="H77" s="102" t="s">
        <v>548</v>
      </c>
      <c r="I77" s="102" t="s">
        <v>556</v>
      </c>
      <c r="J77" s="101" t="s">
        <v>546</v>
      </c>
      <c r="K77" s="103" t="n">
        <f aca="false">IF(B77="Yes",Overview!$C$5,0)</f>
        <v>0</v>
      </c>
      <c r="L77" s="98" t="s">
        <v>151</v>
      </c>
      <c r="M77" s="104" t="s">
        <v>388</v>
      </c>
    </row>
    <row r="78" customFormat="false" ht="43.5" hidden="false" customHeight="true" outlineLevel="0" collapsed="false">
      <c r="A78" s="126" t="str">
        <f aca="false">IF(B78="Yes",COUNTIF(B$6:B78,"Yes"),"—")</f>
        <v>—</v>
      </c>
      <c r="B78" s="98" t="s">
        <v>302</v>
      </c>
      <c r="C78" s="61" t="str">
        <f aca="false">IF(B78="Yes",Overview!$C$4+7*(COUNTIF(B$6:B78,"Yes")-1),"—")</f>
        <v>—</v>
      </c>
      <c r="D78" s="61" t="str">
        <f aca="false">IF(B78="Yes",C78+6,"—")</f>
        <v>—</v>
      </c>
      <c r="E78" s="127" t="s">
        <v>37</v>
      </c>
      <c r="F78" s="128" t="s">
        <v>132</v>
      </c>
      <c r="G78" s="101" t="s">
        <v>557</v>
      </c>
      <c r="H78" s="102" t="s">
        <v>551</v>
      </c>
      <c r="I78" s="102" t="s">
        <v>558</v>
      </c>
      <c r="J78" s="101" t="s">
        <v>559</v>
      </c>
      <c r="K78" s="103" t="n">
        <f aca="false">IF(B78="Yes",Overview!$C$5,0)</f>
        <v>0</v>
      </c>
      <c r="L78" s="98" t="s">
        <v>151</v>
      </c>
      <c r="M78" s="104" t="s">
        <v>388</v>
      </c>
    </row>
  </sheetData>
  <autoFilter ref="A5:M78"/>
  <mergeCells count="3">
    <mergeCell ref="A1:M1"/>
    <mergeCell ref="A2:M2"/>
    <mergeCell ref="A3:M3"/>
  </mergeCells>
  <conditionalFormatting sqref="A6:M78">
    <cfRule type="expression" priority="2" aboveAverage="0" equalAverage="0" bottom="0" percent="0" rank="0" text="" dxfId="36">
      <formula>$B6="No"</formula>
    </cfRule>
  </conditionalFormatting>
  <conditionalFormatting sqref="L6:L78">
    <cfRule type="expression" priority="3" aboveAverage="0" equalAverage="0" bottom="0" percent="0" rank="0" text="" dxfId="37">
      <formula>$L6="Done"</formula>
    </cfRule>
    <cfRule type="expression" priority="4" aboveAverage="0" equalAverage="0" bottom="0" percent="0" rank="0" text="" dxfId="38">
      <formula>$L6="In Progress"</formula>
    </cfRule>
    <cfRule type="expression" priority="5" aboveAverage="0" equalAverage="0" bottom="0" percent="0" rank="0" text="" dxfId="39">
      <formula>$L6="Not Started"</formula>
    </cfRule>
  </conditionalFormatting>
  <conditionalFormatting sqref="B6:M78">
    <cfRule type="expression" priority="6" aboveAverage="0" equalAverage="0" bottom="0" percent="0" rank="0" text="" dxfId="40">
      <formula>$L6="Done"</formula>
    </cfRule>
    <cfRule type="expression" priority="7" aboveAverage="0" equalAverage="0" bottom="0" percent="0" rank="0" text="" dxfId="41">
      <formula>$L6="In Progress"</formula>
    </cfRule>
  </conditionalFormatting>
  <dataValidations count="2">
    <dataValidation allowBlank="false" errorStyle="stop" operator="between" showDropDown="false" showErrorMessage="false" showInputMessage="false" sqref="B6:B78" type="list">
      <formula1>"Yes,No"</formula1>
      <formula2>0</formula2>
    </dataValidation>
    <dataValidation allowBlank="false" errorStyle="stop" operator="between" showDropDown="false" showErrorMessage="false" showInputMessage="false" sqref="L6:L78" type="list">
      <formula1>"Not Started,In Progress,Done"</formula1>
      <formula2>0</formula2>
    </dataValidation>
  </dataValidations>
  <hyperlinks>
    <hyperlink ref="H6" r:id="rId1" display="📖 MDN Learn Web Dev"/>
    <hyperlink ref="I6" r:id="rId2" display="▶ browsers, HTML, DevTools &amp; AI insp…"/>
    <hyperlink ref="H7" r:id="rId3" display="📖 web.dev Learn CSS"/>
    <hyperlink ref="I7" r:id="rId4" display="▶ responsive design, media queries &amp;…"/>
    <hyperlink ref="H8" r:id="rId5" display="📖 Bootstrap docs"/>
    <hyperlink ref="I8" r:id="rId6" display="▶ Introduction to Bootstrap &amp; basics"/>
    <hyperlink ref="H9" r:id="rId7" display="📖 javascript.info"/>
    <hyperlink ref="I9" r:id="rId8" display="▶ values, types, variables &amp; control…"/>
    <hyperlink ref="H10" r:id="rId9" display="📖 MDN JavaScript"/>
    <hyperlink ref="I10" r:id="rId10" display="▶ predict output &amp; debug"/>
    <hyperlink ref="H11" r:id="rId11" display="📖 JS30 projects"/>
    <hyperlink ref="I11" r:id="rId12" display="▶ user interaction &amp; handlers"/>
    <hyperlink ref="H12" r:id="rId13" display="📖 javascript.info"/>
    <hyperlink ref="I12" r:id="rId14" display="▶ callbacks, Web APIs &amp; non-blocking…"/>
    <hyperlink ref="H13" r:id="rId15" display="📖 MDN JavaScript"/>
    <hyperlink ref="I13" r:id="rId16" display="▶ promise combinators &amp; real-world p…"/>
    <hyperlink ref="H14" r:id="rId17" display="📖 JS30 projects"/>
    <hyperlink ref="I14" r:id="rId18" display="▶ event delegation &amp; machine coding"/>
    <hyperlink ref="H15" r:id="rId19" display="📖 javascript.info prototypes"/>
    <hyperlink ref="I15" r:id="rId20" display="▶ classes, constructors &amp; OO modelli…"/>
    <hyperlink ref="H16" r:id="rId21" display="📖 javascript.info classes"/>
    <hyperlink ref="I16" r:id="rId22" display="▶ call, apply, bind &amp; polyfill think…"/>
    <hyperlink ref="H17" r:id="rId23" display="📖 jQuery Learning Center"/>
    <hyperlink ref="I17" r:id="rId24" display="▶ Intro to jQuery &amp; syntax"/>
    <hyperlink ref="H18" r:id="rId25" display="📖 React docs (react.dev)"/>
    <hyperlink ref="I18" r:id="rId26" display="▶ components, JSX &amp; thinking in UI t…"/>
    <hyperlink ref="H19" r:id="rId27" display="📖 Redux essentials"/>
    <hyperlink ref="I19" r:id="rId28" display="▶ State, events &amp; interactive UI"/>
    <hyperlink ref="H20" r:id="rId29" display="📖 React Router"/>
    <hyperlink ref="I20" r:id="rId30" display="▶ IMDB app – movies page, pagination…"/>
    <hyperlink ref="H21" r:id="rId31" display="📖 React docs (react.dev)"/>
    <hyperlink ref="I21" r:id="rId32" display="▶ Context API, state sharing &amp; compo…"/>
    <hyperlink ref="H22" r:id="rId33" display="📖 Node.js learn"/>
    <hyperlink ref="I22" r:id="rId34" display="▶ Node.js, APIs, Express &amp; service t…"/>
    <hyperlink ref="H23" r:id="rId35" display="📖 Express docs"/>
    <hyperlink ref="I23" r:id="rId36" display="▶ filters, indexing, aggregation, sc…"/>
    <hyperlink ref="H24" r:id="rId37" display="📖 Mongoose docs"/>
    <hyperlink ref="I24" r:id="rId38" display="▶ protected routes, tokens &amp; session…"/>
    <hyperlink ref="H25" r:id="rId39" display="📖 Node.js learn"/>
    <hyperlink ref="I25" r:id="rId40" display="▶ payments, ticket generation &amp; orde…"/>
    <hyperlink ref="H26" r:id="rId41" display="📖 SQLBolt interactive"/>
    <hyperlink ref="I26" r:id="rId42" display="▶ Intro to DBMS &amp; keys"/>
    <hyperlink ref="H27" r:id="rId43" display="📖 W3Schools SQL"/>
    <hyperlink ref="I27" r:id="rId44" display="▶ Joins &amp; aggregate queries"/>
    <hyperlink ref="H28" r:id="rId45" display="📖 Mode SQL tutorial"/>
    <hyperlink ref="I28" r:id="rId46" display="▶ Indexing &amp; transactions"/>
    <hyperlink ref="H29" r:id="rId47" display="📖 SQLBolt interactive"/>
    <hyperlink ref="I29" r:id="rId48" display="▶ Schema design 1 &amp; 2"/>
    <hyperlink ref="H30" r:id="rId49" display="📖 OWASP Top Ten"/>
    <hyperlink ref="I30" r:id="rId50" display="▶ API testing, debugging &amp; error han…"/>
    <hyperlink ref="H31" r:id="rId51" display="📖 Docker get started"/>
    <hyperlink ref="I31" r:id="rId52" display="▶ caching, queues, background jobs &amp;…"/>
    <hyperlink ref="H32" r:id="rId53" display="📖 TypeScript handbook"/>
    <hyperlink ref="I32" r:id="rId54" display="▶ TypeScript foundations for JS deve…"/>
    <hyperlink ref="H33" r:id="rId55" display="📖 Next.js Learn"/>
    <hyperlink ref="I33" r:id="rId56" display="▶ Custom hooks &amp; reusable logic patt…"/>
    <hyperlink ref="H34" r:id="rId57" display="📖 React docs: hooks"/>
    <hyperlink ref="I34" r:id="rId58" display="▶ patterns, state trade-offs &amp; AI-as…"/>
    <hyperlink ref="H35" r:id="rId59" display="📖 TypeScript handbook"/>
    <hyperlink ref="I35" r:id="rId60" display="▶ forms, route handlers, auth flow &amp;…"/>
    <hyperlink ref="H36" r:id="rId61" display="📖 OpenAI docs"/>
    <hyperlink ref="I36" r:id="rId62" display="▶ Full-stack development in the age …"/>
    <hyperlink ref="H37" r:id="rId63" display="📖 Anthropic docs"/>
    <hyperlink ref="I37" r:id="rId64" display="▶ Reviewing &amp; validating AI-generate…"/>
    <hyperlink ref="H38" r:id="rId65" display="📖 GitHub docs"/>
    <hyperlink ref="I38" r:id="rId66" display="▶ Scope, wireframes &amp; data model"/>
    <hyperlink ref="H39" r:id="rId67" display="📖 Vercel docs"/>
    <hyperlink ref="I39" r:id="rId68" display="▶ Build UI + authentication"/>
    <hyperlink ref="H40" r:id="rId69" display="📖 Render docs"/>
    <hyperlink ref="I40" r:id="rId70" display="▶ Add one AI feature (LLM API)"/>
    <hyperlink ref="H41" r:id="rId71" display="📖 NeetCode roadmap"/>
    <hyperlink ref="I41" r:id="rId72" display="▶ Time complexity"/>
    <hyperlink ref="H42" r:id="rId73" display="📖 GeeksforGeeks DSA"/>
    <hyperlink ref="I42" r:id="rId74" display="▶ Array techniques &amp; smart prompting"/>
    <hyperlink ref="H43" r:id="rId75" display="📖 LeetCode problems"/>
    <hyperlink ref="I43" r:id="rId76" display="▶ Bit manipulation basics"/>
    <hyperlink ref="H44" r:id="rId77" display="📖 NeetCode roadmap"/>
    <hyperlink ref="I44" r:id="rId78" display="▶ Strings &amp; immutability"/>
    <hyperlink ref="H45" r:id="rId79" display="📖 InterviewBit"/>
    <hyperlink ref="I45" r:id="rId80" display="▶ DSA interview simulation"/>
    <hyperlink ref="H46" r:id="rId81" display="📖 LeetCode"/>
    <hyperlink ref="I46" r:id="rId82" display="▶ LLD / machine-coding simulation (f…"/>
    <hyperlink ref="H47" r:id="rId83" display="📖 NeetCode roadmap"/>
    <hyperlink ref="I47" r:id="rId84" display="▶ arrays, bits, recursion, hashing &amp;…"/>
    <hyperlink ref="H48" r:id="rId85" display="📖 CP-Algorithms"/>
    <hyperlink ref="I48" r:id="rId86" display="▶ arrays, bits, recursion, hashing &amp;…"/>
    <hyperlink ref="H49" r:id="rId87" display="📖 LeetCode problems"/>
    <hyperlink ref="I49" r:id="rId88" display="▶ arrays, bits, recursion, hashing &amp;…"/>
    <hyperlink ref="H50" r:id="rId89" display="📖 NeetCode roadmap"/>
    <hyperlink ref="I50" r:id="rId90" display="▶ arrays, bits, recursion, hashing &amp;…"/>
    <hyperlink ref="H51" r:id="rId91" display="📖 CP-Algorithms"/>
    <hyperlink ref="I51" r:id="rId92" display="▶ searching, linked list, stacks, qu…"/>
    <hyperlink ref="H52" r:id="rId93" display="📖 LeetCode problems"/>
    <hyperlink ref="I52" r:id="rId94" display="▶ searching, linked list, stacks, qu…"/>
    <hyperlink ref="H53" r:id="rId95" display="📖 NeetCode roadmap"/>
    <hyperlink ref="I53" r:id="rId96" display="▶ searching, linked list, stacks, qu…"/>
    <hyperlink ref="H54" r:id="rId97" display="📖 CP-Algorithms"/>
    <hyperlink ref="I54" r:id="rId98" display="▶ searching, linked list, stacks, qu…"/>
    <hyperlink ref="H55" r:id="rId99" display="📖 LeetCode problems"/>
    <hyperlink ref="I55" r:id="rId100" display="▶ Backtracking, maths &amp; advanced tre…"/>
    <hyperlink ref="H56" r:id="rId101" display="📖 NeetCode roadmap"/>
    <hyperlink ref="I56" r:id="rId102" display="▶ Backtracking, maths &amp; advanced tre…"/>
    <hyperlink ref="H57" r:id="rId103" display="📖 CP-Algorithms"/>
    <hyperlink ref="I57" r:id="rId104" display="▶ Backtracking, maths &amp; advanced tre…"/>
    <hyperlink ref="H58" r:id="rId105" display="📖 LeetCode problems"/>
    <hyperlink ref="I58" r:id="rId106" display="▶ Backtracking, maths &amp; advanced tre…"/>
    <hyperlink ref="H59" r:id="rId107" display="📖 NeetCode roadmap"/>
    <hyperlink ref="I59" r:id="rId108" display="▶ Heaps, greedy, DP &amp; graphs"/>
    <hyperlink ref="H60" r:id="rId109" display="📖 CP-Algorithms"/>
    <hyperlink ref="I60" r:id="rId110" display="▶ Heaps, greedy, DP &amp; graphs"/>
    <hyperlink ref="H61" r:id="rId111" display="📖 LeetCode problems"/>
    <hyperlink ref="I61" r:id="rId112" display="▶ Heaps, greedy, DP &amp; graphs"/>
    <hyperlink ref="H62" r:id="rId113" display="📖 NeetCode roadmap"/>
    <hyperlink ref="I62" r:id="rId114" display="▶ Heaps, greedy, DP &amp; graphs"/>
    <hyperlink ref="H63" r:id="rId115" display="📖 System Design Primer"/>
    <hyperlink ref="I63" r:id="rId116" display="▶ Foundations &amp; modern infrastructur…"/>
    <hyperlink ref="H64" r:id="rId117" display="📖 High Scalability"/>
    <hyperlink ref="I64" r:id="rId118" display="▶ Load balancing &amp; consistent hashin…"/>
    <hyperlink ref="H65" r:id="rId119" display="📖 Kafka docs"/>
    <hyperlink ref="I65" r:id="rId120" display="▶ Caching &amp; CDN"/>
    <hyperlink ref="H66" r:id="rId121" display="📖 System Design Primer"/>
    <hyperlink ref="I66" r:id="rId122" display="▶ Replication, CAP &amp; sharding"/>
    <hyperlink ref="H67" r:id="rId123" display="📖 High Scalability"/>
    <hyperlink ref="I67" r:id="rId124" display="▶ Messaging queues (Kafka) &amp; microse…"/>
    <hyperlink ref="H68" r:id="rId125" display="📖 Kafka docs"/>
    <hyperlink ref="I68" r:id="rId126" display="▶ Typeahead, messaging, Uber, e-comm…"/>
    <hyperlink ref="H69" r:id="rId127" display="📖 Angular tutorials"/>
    <hyperlink ref="I69" r:id="rId128" display="▶ Intro to Angular &amp; application arc…"/>
    <hyperlink ref="H70" r:id="rId129" display="📖 Angular docs"/>
    <hyperlink ref="I70" r:id="rId130" display="▶ NgModules &amp; components"/>
    <hyperlink ref="H71" r:id="rId131" display="📖 Node.js learn"/>
    <hyperlink ref="I71" r:id="rId132" display="▶ Template routing &amp; forms"/>
    <hyperlink ref="H72" r:id="rId133" display="📖 Angular tutorials"/>
    <hyperlink ref="I72" r:id="rId134" display="▶ Server communication (GET/POST/PUT…"/>
    <hyperlink ref="H73" r:id="rId135" display="📖 PHP manual"/>
    <hyperlink ref="I73" r:id="rId136" display="▶ PHP crash course &amp; embedding PHP i…"/>
    <hyperlink ref="H74" r:id="rId137" display="📖 Laravel docs"/>
    <hyperlink ref="I74" r:id="rId138" display="▶ Storing &amp; retrieving data; arrays"/>
    <hyperlink ref="H75" r:id="rId139" display="📖 MySQL docs"/>
    <hyperlink ref="I75" r:id="rId140" display="▶ Reusing code &amp; writing functions"/>
    <hyperlink ref="H76" r:id="rId141" display="📖 PHP manual"/>
    <hyperlink ref="I76" r:id="rId142" display="▶ Object-oriented PHP"/>
    <hyperlink ref="H77" r:id="rId143" display="📖 Laravel docs"/>
    <hyperlink ref="I77" r:id="rId144" display="▶ Designing &amp; creating your web data…"/>
    <hyperlink ref="H78" r:id="rId145" display="📖 MySQL docs"/>
    <hyperlink ref="I78" r:id="rId146" display="▶ Accessing MySQL from the web with …"/>
  </hyperlinks>
  <printOptions headings="false" gridLines="false" gridLinesSet="true" horizontalCentered="false" verticalCentered="false"/>
  <pageMargins left="0.4" right="0.4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Developed by Rajesh Kumar Singh</oddFooter>
  </headerFooter>
  <drawing r:id="rId147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5CF6"/>
    <pageSetUpPr fitToPage="true"/>
  </sheetPr>
  <dimension ref="A1:I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62"/>
    <col collapsed="false" customWidth="true" hidden="false" outlineLevel="0" max="5" min="4" style="0" width="11"/>
    <col collapsed="false" customWidth="true" hidden="false" outlineLevel="0" max="6" min="6" style="0" width="9"/>
    <col collapsed="false" customWidth="true" hidden="false" outlineLevel="0" max="9" min="7" style="0" width="12"/>
  </cols>
  <sheetData>
    <row r="1" customFormat="false" ht="42" hidden="false" customHeight="true" outlineLevel="0" collapsed="false">
      <c r="A1" s="1" t="s">
        <v>560</v>
      </c>
      <c r="B1" s="3"/>
      <c r="C1" s="3"/>
      <c r="D1" s="3"/>
      <c r="E1" s="3"/>
      <c r="F1" s="3"/>
      <c r="G1" s="3"/>
      <c r="H1" s="3"/>
      <c r="I1" s="3"/>
    </row>
    <row r="2" customFormat="false" ht="24" hidden="false" customHeight="true" outlineLevel="0" collapsed="false">
      <c r="A2" s="78" t="s">
        <v>561</v>
      </c>
      <c r="B2" s="6"/>
      <c r="C2" s="6"/>
      <c r="D2" s="6"/>
      <c r="E2" s="6"/>
      <c r="F2" s="6"/>
      <c r="G2" s="6"/>
      <c r="H2" s="6"/>
      <c r="I2" s="6"/>
    </row>
    <row r="3" customFormat="false" ht="7.5" hidden="false" customHeight="true" outlineLevel="0" collapsed="false"/>
    <row r="4" customFormat="false" ht="33.75" hidden="false" customHeight="true" outlineLevel="0" collapsed="false">
      <c r="A4" s="34" t="s">
        <v>91</v>
      </c>
      <c r="B4" s="34" t="s">
        <v>18</v>
      </c>
      <c r="C4" s="34" t="s">
        <v>92</v>
      </c>
      <c r="D4" s="34" t="s">
        <v>562</v>
      </c>
      <c r="E4" s="34" t="s">
        <v>563</v>
      </c>
      <c r="F4" s="34" t="s">
        <v>564</v>
      </c>
      <c r="G4" s="34" t="s">
        <v>565</v>
      </c>
      <c r="H4" s="34" t="s">
        <v>566</v>
      </c>
      <c r="I4" s="34" t="s">
        <v>567</v>
      </c>
    </row>
    <row r="5" customFormat="false" ht="30" hidden="false" customHeight="true" outlineLevel="0" collapsed="false">
      <c r="A5" s="129" t="s">
        <v>19</v>
      </c>
      <c r="B5" s="130" t="s">
        <v>21</v>
      </c>
      <c r="C5" s="131" t="s">
        <v>96</v>
      </c>
      <c r="D5" s="132" t="n">
        <f aca="false">COUNTIFS('SDE Plan'!$F$6:$F$78,$C5,'SDE Plan'!$B$6:$B$78,"Yes")</f>
        <v>0</v>
      </c>
      <c r="E5" s="132" t="n">
        <f aca="false">COUNTIFS('SDE Plan'!$F$6:$F$78,$C5,'SDE Plan'!$B$6:$B$78,"Yes",'SDE Plan'!$L$6:$L$78,"Done")</f>
        <v>0</v>
      </c>
      <c r="F5" s="133" t="n">
        <f aca="false">IF(D5=0,0,E5/D5)</f>
        <v>0</v>
      </c>
      <c r="G5" s="61" t="str">
        <f aca="false">IF(D5=0,"—",_xlfn.MINIFS('SDE Plan'!$C$6:$C$78,'SDE Plan'!$F$6:$F$78,$C5,'SDE Plan'!$B$6:$B$78,"Yes"))</f>
        <v>—</v>
      </c>
      <c r="H5" s="61" t="str">
        <f aca="false">IF(D5=0,"—",_xlfn.MAXIFS('SDE Plan'!$D$6:$D$78,'SDE Plan'!$F$6:$F$78,$C5,'SDE Plan'!$B$6:$B$78,"Yes"))</f>
        <v>—</v>
      </c>
      <c r="I5" s="132" t="n">
        <f aca="false">D5*Overview!$C$5</f>
        <v>0</v>
      </c>
    </row>
    <row r="6" customFormat="false" ht="30" hidden="false" customHeight="true" outlineLevel="0" collapsed="false">
      <c r="A6" s="134" t="s">
        <v>19</v>
      </c>
      <c r="B6" s="130" t="s">
        <v>21</v>
      </c>
      <c r="C6" s="131" t="s">
        <v>97</v>
      </c>
      <c r="D6" s="135" t="n">
        <f aca="false">COUNTIFS('SDE Plan'!$F$6:$F$78,$C6,'SDE Plan'!$B$6:$B$78,"Yes")</f>
        <v>0</v>
      </c>
      <c r="E6" s="135" t="n">
        <f aca="false">COUNTIFS('SDE Plan'!$F$6:$F$78,$C6,'SDE Plan'!$B$6:$B$78,"Yes",'SDE Plan'!$L$6:$L$78,"Done")</f>
        <v>0</v>
      </c>
      <c r="F6" s="136" t="n">
        <f aca="false">IF(D6=0,0,E6/D6)</f>
        <v>0</v>
      </c>
      <c r="G6" s="67" t="str">
        <f aca="false">IF(D6=0,"—",_xlfn.MINIFS('SDE Plan'!$C$6:$C$78,'SDE Plan'!$F$6:$F$78,$C6,'SDE Plan'!$B$6:$B$78,"Yes"))</f>
        <v>—</v>
      </c>
      <c r="H6" s="67" t="str">
        <f aca="false">IF(D6=0,"—",_xlfn.MAXIFS('SDE Plan'!$D$6:$D$78,'SDE Plan'!$F$6:$F$78,$C6,'SDE Plan'!$B$6:$B$78,"Yes"))</f>
        <v>—</v>
      </c>
      <c r="I6" s="135" t="n">
        <f aca="false">D6*Overview!$C$5</f>
        <v>0</v>
      </c>
    </row>
    <row r="7" customFormat="false" ht="30" hidden="false" customHeight="true" outlineLevel="0" collapsed="false">
      <c r="A7" s="129" t="s">
        <v>19</v>
      </c>
      <c r="B7" s="137" t="s">
        <v>23</v>
      </c>
      <c r="C7" s="138" t="s">
        <v>98</v>
      </c>
      <c r="D7" s="132" t="n">
        <f aca="false">COUNTIFS('SDE Plan'!$F$6:$F$78,$C7,'SDE Plan'!$B$6:$B$78,"Yes")</f>
        <v>2</v>
      </c>
      <c r="E7" s="132" t="n">
        <f aca="false">COUNTIFS('SDE Plan'!$F$6:$F$78,$C7,'SDE Plan'!$B$6:$B$78,"Yes",'SDE Plan'!$L$6:$L$78,"Done")</f>
        <v>0</v>
      </c>
      <c r="F7" s="133" t="n">
        <f aca="false">IF(D7=0,0,E7/D7)</f>
        <v>0</v>
      </c>
      <c r="G7" s="61" t="n">
        <f aca="false">IF(D7=0,"—",_xlfn.MINIFS('SDE Plan'!$C$6:$C$78,'SDE Plan'!$F$6:$F$78,$C7,'SDE Plan'!$B$6:$B$78,"Yes"))</f>
        <v>46307</v>
      </c>
      <c r="H7" s="61" t="n">
        <f aca="false">IF(D7=0,"—",_xlfn.MAXIFS('SDE Plan'!$D$6:$D$78,'SDE Plan'!$F$6:$F$78,$C7,'SDE Plan'!$B$6:$B$78,"Yes"))</f>
        <v>46320</v>
      </c>
      <c r="I7" s="132" t="n">
        <f aca="false">D7*Overview!$C$5</f>
        <v>40</v>
      </c>
    </row>
    <row r="8" customFormat="false" ht="30" hidden="false" customHeight="true" outlineLevel="0" collapsed="false">
      <c r="A8" s="134" t="s">
        <v>19</v>
      </c>
      <c r="B8" s="139" t="s">
        <v>25</v>
      </c>
      <c r="C8" s="140" t="s">
        <v>99</v>
      </c>
      <c r="D8" s="135" t="n">
        <f aca="false">COUNTIFS('SDE Plan'!$F$6:$F$78,$C8,'SDE Plan'!$B$6:$B$78,"Yes")</f>
        <v>2</v>
      </c>
      <c r="E8" s="135" t="n">
        <f aca="false">COUNTIFS('SDE Plan'!$F$6:$F$78,$C8,'SDE Plan'!$B$6:$B$78,"Yes",'SDE Plan'!$L$6:$L$78,"Done")</f>
        <v>0</v>
      </c>
      <c r="F8" s="136" t="n">
        <f aca="false">IF(D8=0,0,E8/D8)</f>
        <v>0</v>
      </c>
      <c r="G8" s="67" t="n">
        <f aca="false">IF(D8=0,"—",_xlfn.MINIFS('SDE Plan'!$C$6:$C$78,'SDE Plan'!$F$6:$F$78,$C8,'SDE Plan'!$B$6:$B$78,"Yes"))</f>
        <v>46321</v>
      </c>
      <c r="H8" s="67" t="n">
        <f aca="false">IF(D8=0,"—",_xlfn.MAXIFS('SDE Plan'!$D$6:$D$78,'SDE Plan'!$F$6:$F$78,$C8,'SDE Plan'!$B$6:$B$78,"Yes"))</f>
        <v>46334</v>
      </c>
      <c r="I8" s="135" t="n">
        <f aca="false">D8*Overview!$C$5</f>
        <v>40</v>
      </c>
    </row>
    <row r="9" customFormat="false" ht="30" hidden="false" customHeight="true" outlineLevel="0" collapsed="false">
      <c r="A9" s="129" t="s">
        <v>19</v>
      </c>
      <c r="B9" s="141" t="s">
        <v>27</v>
      </c>
      <c r="C9" s="142" t="s">
        <v>100</v>
      </c>
      <c r="D9" s="132" t="n">
        <f aca="false">COUNTIFS('SDE Plan'!$F$6:$F$78,$C9,'SDE Plan'!$B$6:$B$78,"Yes")</f>
        <v>3</v>
      </c>
      <c r="E9" s="132" t="n">
        <f aca="false">COUNTIFS('SDE Plan'!$F$6:$F$78,$C9,'SDE Plan'!$B$6:$B$78,"Yes",'SDE Plan'!$L$6:$L$78,"Done")</f>
        <v>0</v>
      </c>
      <c r="F9" s="133" t="n">
        <f aca="false">IF(D9=0,0,E9/D9)</f>
        <v>0</v>
      </c>
      <c r="G9" s="61" t="n">
        <f aca="false">IF(D9=0,"—",_xlfn.MINIFS('SDE Plan'!$C$6:$C$78,'SDE Plan'!$F$6:$F$78,$C9,'SDE Plan'!$B$6:$B$78,"Yes"))</f>
        <v>46335</v>
      </c>
      <c r="H9" s="61" t="n">
        <f aca="false">IF(D9=0,"—",_xlfn.MAXIFS('SDE Plan'!$D$6:$D$78,'SDE Plan'!$F$6:$F$78,$C9,'SDE Plan'!$B$6:$B$78,"Yes"))</f>
        <v>46355</v>
      </c>
      <c r="I9" s="132" t="n">
        <f aca="false">D9*Overview!$C$5</f>
        <v>60</v>
      </c>
    </row>
    <row r="10" customFormat="false" ht="30" hidden="false" customHeight="true" outlineLevel="0" collapsed="false">
      <c r="A10" s="134" t="s">
        <v>19</v>
      </c>
      <c r="B10" s="141" t="s">
        <v>27</v>
      </c>
      <c r="C10" s="142" t="s">
        <v>101</v>
      </c>
      <c r="D10" s="135" t="n">
        <f aca="false">COUNTIFS('SDE Plan'!$F$6:$F$78,$C10,'SDE Plan'!$B$6:$B$78,"Yes")</f>
        <v>3</v>
      </c>
      <c r="E10" s="135" t="n">
        <f aca="false">COUNTIFS('SDE Plan'!$F$6:$F$78,$C10,'SDE Plan'!$B$6:$B$78,"Yes",'SDE Plan'!$L$6:$L$78,"Done")</f>
        <v>0</v>
      </c>
      <c r="F10" s="136" t="n">
        <f aca="false">IF(D10=0,0,E10/D10)</f>
        <v>0</v>
      </c>
      <c r="G10" s="67" t="n">
        <f aca="false">IF(D10=0,"—",_xlfn.MINIFS('SDE Plan'!$C$6:$C$78,'SDE Plan'!$F$6:$F$78,$C10,'SDE Plan'!$B$6:$B$78,"Yes"))</f>
        <v>46356</v>
      </c>
      <c r="H10" s="67" t="n">
        <f aca="false">IF(D10=0,"—",_xlfn.MAXIFS('SDE Plan'!$D$6:$D$78,'SDE Plan'!$F$6:$F$78,$C10,'SDE Plan'!$B$6:$B$78,"Yes"))</f>
        <v>46376</v>
      </c>
      <c r="I10" s="135" t="n">
        <f aca="false">D10*Overview!$C$5</f>
        <v>60</v>
      </c>
    </row>
    <row r="11" customFormat="false" ht="30" hidden="false" customHeight="true" outlineLevel="0" collapsed="false">
      <c r="A11" s="129" t="s">
        <v>19</v>
      </c>
      <c r="B11" s="141" t="s">
        <v>27</v>
      </c>
      <c r="C11" s="142" t="s">
        <v>102</v>
      </c>
      <c r="D11" s="132" t="n">
        <f aca="false">COUNTIFS('SDE Plan'!$F$6:$F$78,$C11,'SDE Plan'!$B$6:$B$78,"Yes")</f>
        <v>3</v>
      </c>
      <c r="E11" s="132" t="n">
        <f aca="false">COUNTIFS('SDE Plan'!$F$6:$F$78,$C11,'SDE Plan'!$B$6:$B$78,"Yes",'SDE Plan'!$L$6:$L$78,"Done")</f>
        <v>0</v>
      </c>
      <c r="F11" s="133" t="n">
        <f aca="false">IF(D11=0,0,E11/D11)</f>
        <v>0</v>
      </c>
      <c r="G11" s="61" t="n">
        <f aca="false">IF(D11=0,"—",_xlfn.MINIFS('SDE Plan'!$C$6:$C$78,'SDE Plan'!$F$6:$F$78,$C11,'SDE Plan'!$B$6:$B$78,"Yes"))</f>
        <v>46377</v>
      </c>
      <c r="H11" s="61" t="n">
        <f aca="false">IF(D11=0,"—",_xlfn.MAXIFS('SDE Plan'!$D$6:$D$78,'SDE Plan'!$F$6:$F$78,$C11,'SDE Plan'!$B$6:$B$78,"Yes"))</f>
        <v>46397</v>
      </c>
      <c r="I11" s="132" t="n">
        <f aca="false">D11*Overview!$C$5</f>
        <v>60</v>
      </c>
    </row>
    <row r="12" customFormat="false" ht="30" hidden="false" customHeight="true" outlineLevel="0" collapsed="false">
      <c r="A12" s="134" t="s">
        <v>19</v>
      </c>
      <c r="B12" s="141" t="s">
        <v>27</v>
      </c>
      <c r="C12" s="142" t="s">
        <v>103</v>
      </c>
      <c r="D12" s="135" t="n">
        <f aca="false">COUNTIFS('SDE Plan'!$F$6:$F$78,$C12,'SDE Plan'!$B$6:$B$78,"Yes")</f>
        <v>4</v>
      </c>
      <c r="E12" s="135" t="n">
        <f aca="false">COUNTIFS('SDE Plan'!$F$6:$F$78,$C12,'SDE Plan'!$B$6:$B$78,"Yes",'SDE Plan'!$L$6:$L$78,"Done")</f>
        <v>0</v>
      </c>
      <c r="F12" s="136" t="n">
        <f aca="false">IF(D12=0,0,E12/D12)</f>
        <v>0</v>
      </c>
      <c r="G12" s="67" t="n">
        <f aca="false">IF(D12=0,"—",_xlfn.MINIFS('SDE Plan'!$C$6:$C$78,'SDE Plan'!$F$6:$F$78,$C12,'SDE Plan'!$B$6:$B$78,"Yes"))</f>
        <v>46398</v>
      </c>
      <c r="H12" s="67" t="n">
        <f aca="false">IF(D12=0,"—",_xlfn.MAXIFS('SDE Plan'!$D$6:$D$78,'SDE Plan'!$F$6:$F$78,$C12,'SDE Plan'!$B$6:$B$78,"Yes"))</f>
        <v>46425</v>
      </c>
      <c r="I12" s="135" t="n">
        <f aca="false">D12*Overview!$C$5</f>
        <v>80</v>
      </c>
    </row>
    <row r="13" customFormat="false" ht="30" hidden="false" customHeight="true" outlineLevel="0" collapsed="false">
      <c r="A13" s="129" t="s">
        <v>19</v>
      </c>
      <c r="B13" s="143" t="s">
        <v>28</v>
      </c>
      <c r="C13" s="144" t="s">
        <v>104</v>
      </c>
      <c r="D13" s="132" t="n">
        <f aca="false">COUNTIFS('SDE Plan'!$F$6:$F$78,$C13,'SDE Plan'!$B$6:$B$78,"Yes")</f>
        <v>2</v>
      </c>
      <c r="E13" s="132" t="n">
        <f aca="false">COUNTIFS('SDE Plan'!$F$6:$F$78,$C13,'SDE Plan'!$B$6:$B$78,"Yes",'SDE Plan'!$L$6:$L$78,"Done")</f>
        <v>0</v>
      </c>
      <c r="F13" s="133" t="n">
        <f aca="false">IF(D13=0,0,E13/D13)</f>
        <v>0</v>
      </c>
      <c r="G13" s="61" t="n">
        <f aca="false">IF(D13=0,"—",_xlfn.MINIFS('SDE Plan'!$C$6:$C$78,'SDE Plan'!$F$6:$F$78,$C13,'SDE Plan'!$B$6:$B$78,"Yes"))</f>
        <v>46426</v>
      </c>
      <c r="H13" s="61" t="n">
        <f aca="false">IF(D13=0,"—",_xlfn.MAXIFS('SDE Plan'!$D$6:$D$78,'SDE Plan'!$F$6:$F$78,$C13,'SDE Plan'!$B$6:$B$78,"Yes"))</f>
        <v>46439</v>
      </c>
      <c r="I13" s="132" t="n">
        <f aca="false">D13*Overview!$C$5</f>
        <v>40</v>
      </c>
    </row>
    <row r="14" customFormat="false" ht="30" hidden="false" customHeight="true" outlineLevel="0" collapsed="false">
      <c r="A14" s="134" t="s">
        <v>19</v>
      </c>
      <c r="B14" s="145" t="s">
        <v>30</v>
      </c>
      <c r="C14" s="146" t="s">
        <v>105</v>
      </c>
      <c r="D14" s="135" t="n">
        <f aca="false">COUNTIFS('SDE Plan'!$F$6:$F$78,$C14,'SDE Plan'!$B$6:$B$78,"Yes")</f>
        <v>3</v>
      </c>
      <c r="E14" s="135" t="n">
        <f aca="false">COUNTIFS('SDE Plan'!$F$6:$F$78,$C14,'SDE Plan'!$B$6:$B$78,"Yes",'SDE Plan'!$L$6:$L$78,"Done")</f>
        <v>0</v>
      </c>
      <c r="F14" s="136" t="n">
        <f aca="false">IF(D14=0,0,E14/D14)</f>
        <v>0</v>
      </c>
      <c r="G14" s="67" t="n">
        <f aca="false">IF(D14=0,"—",_xlfn.MINIFS('SDE Plan'!$C$6:$C$78,'SDE Plan'!$F$6:$F$78,$C14,'SDE Plan'!$B$6:$B$78,"Yes"))</f>
        <v>46440</v>
      </c>
      <c r="H14" s="67" t="n">
        <f aca="false">IF(D14=0,"—",_xlfn.MAXIFS('SDE Plan'!$D$6:$D$78,'SDE Plan'!$F$6:$F$78,$C14,'SDE Plan'!$B$6:$B$78,"Yes"))</f>
        <v>46460</v>
      </c>
      <c r="I14" s="135" t="n">
        <f aca="false">D14*Overview!$C$5</f>
        <v>60</v>
      </c>
    </row>
    <row r="15" customFormat="false" ht="30" hidden="false" customHeight="true" outlineLevel="0" collapsed="false">
      <c r="A15" s="129" t="s">
        <v>19</v>
      </c>
      <c r="B15" s="145" t="s">
        <v>30</v>
      </c>
      <c r="C15" s="146" t="s">
        <v>106</v>
      </c>
      <c r="D15" s="132" t="n">
        <f aca="false">COUNTIFS('SDE Plan'!$F$6:$F$78,$C15,'SDE Plan'!$B$6:$B$78,"Yes")</f>
        <v>2</v>
      </c>
      <c r="E15" s="132" t="n">
        <f aca="false">COUNTIFS('SDE Plan'!$F$6:$F$78,$C15,'SDE Plan'!$B$6:$B$78,"Yes",'SDE Plan'!$L$6:$L$78,"Done")</f>
        <v>0</v>
      </c>
      <c r="F15" s="133" t="n">
        <f aca="false">IF(D15=0,0,E15/D15)</f>
        <v>0</v>
      </c>
      <c r="G15" s="61" t="n">
        <f aca="false">IF(D15=0,"—",_xlfn.MINIFS('SDE Plan'!$C$6:$C$78,'SDE Plan'!$F$6:$F$78,$C15,'SDE Plan'!$B$6:$B$78,"Yes"))</f>
        <v>46461</v>
      </c>
      <c r="H15" s="61" t="n">
        <f aca="false">IF(D15=0,"—",_xlfn.MAXIFS('SDE Plan'!$D$6:$D$78,'SDE Plan'!$F$6:$F$78,$C15,'SDE Plan'!$B$6:$B$78,"Yes"))</f>
        <v>46474</v>
      </c>
      <c r="I15" s="132" t="n">
        <f aca="false">D15*Overview!$C$5</f>
        <v>40</v>
      </c>
    </row>
    <row r="16" customFormat="false" ht="30" hidden="false" customHeight="true" outlineLevel="0" collapsed="false">
      <c r="A16" s="134" t="s">
        <v>19</v>
      </c>
      <c r="B16" s="145" t="s">
        <v>30</v>
      </c>
      <c r="C16" s="146" t="s">
        <v>107</v>
      </c>
      <c r="D16" s="135" t="n">
        <f aca="false">COUNTIFS('SDE Plan'!$F$6:$F$78,$C16,'SDE Plan'!$B$6:$B$78,"Yes")</f>
        <v>3</v>
      </c>
      <c r="E16" s="135" t="n">
        <f aca="false">COUNTIFS('SDE Plan'!$F$6:$F$78,$C16,'SDE Plan'!$B$6:$B$78,"Yes",'SDE Plan'!$L$6:$L$78,"Done")</f>
        <v>0</v>
      </c>
      <c r="F16" s="136" t="n">
        <f aca="false">IF(D16=0,0,E16/D16)</f>
        <v>0</v>
      </c>
      <c r="G16" s="67" t="n">
        <f aca="false">IF(D16=0,"—",_xlfn.MINIFS('SDE Plan'!$C$6:$C$78,'SDE Plan'!$F$6:$F$78,$C16,'SDE Plan'!$B$6:$B$78,"Yes"))</f>
        <v>46475</v>
      </c>
      <c r="H16" s="67" t="n">
        <f aca="false">IF(D16=0,"—",_xlfn.MAXIFS('SDE Plan'!$D$6:$D$78,'SDE Plan'!$F$6:$F$78,$C16,'SDE Plan'!$B$6:$B$78,"Yes"))</f>
        <v>46495</v>
      </c>
      <c r="I16" s="135" t="n">
        <f aca="false">D16*Overview!$C$5</f>
        <v>60</v>
      </c>
    </row>
    <row r="17" customFormat="false" ht="30" hidden="false" customHeight="true" outlineLevel="0" collapsed="false">
      <c r="A17" s="129" t="s">
        <v>19</v>
      </c>
      <c r="B17" s="145" t="s">
        <v>30</v>
      </c>
      <c r="C17" s="146" t="s">
        <v>108</v>
      </c>
      <c r="D17" s="132" t="n">
        <f aca="false">COUNTIFS('SDE Plan'!$F$6:$F$78,$C17,'SDE Plan'!$B$6:$B$78,"Yes")</f>
        <v>3</v>
      </c>
      <c r="E17" s="132" t="n">
        <f aca="false">COUNTIFS('SDE Plan'!$F$6:$F$78,$C17,'SDE Plan'!$B$6:$B$78,"Yes",'SDE Plan'!$L$6:$L$78,"Done")</f>
        <v>0</v>
      </c>
      <c r="F17" s="133" t="n">
        <f aca="false">IF(D17=0,0,E17/D17)</f>
        <v>0</v>
      </c>
      <c r="G17" s="61" t="n">
        <f aca="false">IF(D17=0,"—",_xlfn.MINIFS('SDE Plan'!$C$6:$C$78,'SDE Plan'!$F$6:$F$78,$C17,'SDE Plan'!$B$6:$B$78,"Yes"))</f>
        <v>46496</v>
      </c>
      <c r="H17" s="61" t="n">
        <f aca="false">IF(D17=0,"—",_xlfn.MAXIFS('SDE Plan'!$D$6:$D$78,'SDE Plan'!$F$6:$F$78,$C17,'SDE Plan'!$B$6:$B$78,"Yes"))</f>
        <v>46516</v>
      </c>
      <c r="I17" s="132" t="n">
        <f aca="false">D17*Overview!$C$5</f>
        <v>60</v>
      </c>
    </row>
    <row r="18" customFormat="false" ht="30" hidden="false" customHeight="true" outlineLevel="0" collapsed="false">
      <c r="A18" s="134" t="s">
        <v>19</v>
      </c>
      <c r="B18" s="145" t="s">
        <v>30</v>
      </c>
      <c r="C18" s="146" t="s">
        <v>109</v>
      </c>
      <c r="D18" s="135" t="n">
        <f aca="false">COUNTIFS('SDE Plan'!$F$6:$F$78,$C18,'SDE Plan'!$B$6:$B$78,"Yes")</f>
        <v>3</v>
      </c>
      <c r="E18" s="135" t="n">
        <f aca="false">COUNTIFS('SDE Plan'!$F$6:$F$78,$C18,'SDE Plan'!$B$6:$B$78,"Yes",'SDE Plan'!$L$6:$L$78,"Done")</f>
        <v>0</v>
      </c>
      <c r="F18" s="136" t="n">
        <f aca="false">IF(D18=0,0,E18/D18)</f>
        <v>0</v>
      </c>
      <c r="G18" s="67" t="n">
        <f aca="false">IF(D18=0,"—",_xlfn.MINIFS('SDE Plan'!$C$6:$C$78,'SDE Plan'!$F$6:$F$78,$C18,'SDE Plan'!$B$6:$B$78,"Yes"))</f>
        <v>46517</v>
      </c>
      <c r="H18" s="67" t="n">
        <f aca="false">IF(D18=0,"—",_xlfn.MAXIFS('SDE Plan'!$D$6:$D$78,'SDE Plan'!$F$6:$F$78,$C18,'SDE Plan'!$B$6:$B$78,"Yes"))</f>
        <v>46537</v>
      </c>
      <c r="I18" s="135" t="n">
        <f aca="false">D18*Overview!$C$5</f>
        <v>60</v>
      </c>
    </row>
    <row r="19" customFormat="false" ht="30" hidden="false" customHeight="true" outlineLevel="0" collapsed="false">
      <c r="A19" s="129" t="s">
        <v>19</v>
      </c>
      <c r="B19" s="147" t="s">
        <v>33</v>
      </c>
      <c r="C19" s="148" t="s">
        <v>110</v>
      </c>
      <c r="D19" s="132" t="n">
        <f aca="false">COUNTIFS('SDE Plan'!$F$6:$F$78,$C19,'SDE Plan'!$B$6:$B$78,"Yes")</f>
        <v>4</v>
      </c>
      <c r="E19" s="132" t="n">
        <f aca="false">COUNTIFS('SDE Plan'!$F$6:$F$78,$C19,'SDE Plan'!$B$6:$B$78,"Yes",'SDE Plan'!$L$6:$L$78,"Done")</f>
        <v>0</v>
      </c>
      <c r="F19" s="133" t="n">
        <f aca="false">IF(D19=0,0,E19/D19)</f>
        <v>0</v>
      </c>
      <c r="G19" s="61" t="n">
        <f aca="false">IF(D19=0,"—",_xlfn.MINIFS('SDE Plan'!$C$6:$C$78,'SDE Plan'!$F$6:$F$78,$C19,'SDE Plan'!$B$6:$B$78,"Yes"))</f>
        <v>46538</v>
      </c>
      <c r="H19" s="61" t="n">
        <f aca="false">IF(D19=0,"—",_xlfn.MAXIFS('SDE Plan'!$D$6:$D$78,'SDE Plan'!$F$6:$F$78,$C19,'SDE Plan'!$B$6:$B$78,"Yes"))</f>
        <v>46565</v>
      </c>
      <c r="I19" s="132" t="n">
        <f aca="false">D19*Overview!$C$5</f>
        <v>80</v>
      </c>
    </row>
    <row r="20" customFormat="false" ht="30" hidden="false" customHeight="true" outlineLevel="0" collapsed="false">
      <c r="A20" s="134" t="s">
        <v>19</v>
      </c>
      <c r="B20" s="149" t="s">
        <v>34</v>
      </c>
      <c r="C20" s="150" t="s">
        <v>111</v>
      </c>
      <c r="D20" s="135" t="n">
        <f aca="false">COUNTIFS('SDE Plan'!$F$6:$F$78,$C20,'SDE Plan'!$B$6:$B$78,"Yes")</f>
        <v>2</v>
      </c>
      <c r="E20" s="135" t="n">
        <f aca="false">COUNTIFS('SDE Plan'!$F$6:$F$78,$C20,'SDE Plan'!$B$6:$B$78,"Yes",'SDE Plan'!$L$6:$L$78,"Done")</f>
        <v>0</v>
      </c>
      <c r="F20" s="136" t="n">
        <f aca="false">IF(D20=0,0,E20/D20)</f>
        <v>0</v>
      </c>
      <c r="G20" s="67" t="n">
        <f aca="false">IF(D20=0,"—",_xlfn.MINIFS('SDE Plan'!$C$6:$C$78,'SDE Plan'!$F$6:$F$78,$C20,'SDE Plan'!$B$6:$B$78,"Yes"))</f>
        <v>46566</v>
      </c>
      <c r="H20" s="67" t="n">
        <f aca="false">IF(D20=0,"—",_xlfn.MAXIFS('SDE Plan'!$D$6:$D$78,'SDE Plan'!$F$6:$F$78,$C20,'SDE Plan'!$B$6:$B$78,"Yes"))</f>
        <v>46579</v>
      </c>
      <c r="I20" s="135" t="n">
        <f aca="false">D20*Overview!$C$5</f>
        <v>40</v>
      </c>
    </row>
    <row r="21" customFormat="false" ht="30" hidden="false" customHeight="true" outlineLevel="0" collapsed="false">
      <c r="A21" s="129" t="s">
        <v>19</v>
      </c>
      <c r="B21" s="151" t="s">
        <v>36</v>
      </c>
      <c r="C21" s="152" t="s">
        <v>112</v>
      </c>
      <c r="D21" s="132" t="n">
        <f aca="false">COUNTIFS('SDE Plan'!$F$6:$F$78,$C21,'SDE Plan'!$B$6:$B$78,"Yes")</f>
        <v>0</v>
      </c>
      <c r="E21" s="132" t="n">
        <f aca="false">COUNTIFS('SDE Plan'!$F$6:$F$78,$C21,'SDE Plan'!$B$6:$B$78,"Yes",'SDE Plan'!$L$6:$L$78,"Done")</f>
        <v>0</v>
      </c>
      <c r="F21" s="133" t="n">
        <f aca="false">IF(D21=0,0,E21/D21)</f>
        <v>0</v>
      </c>
      <c r="G21" s="61" t="str">
        <f aca="false">IF(D21=0,"—",_xlfn.MINIFS('SDE Plan'!$C$6:$C$78,'SDE Plan'!$F$6:$F$78,$C21,'SDE Plan'!$B$6:$B$78,"Yes"))</f>
        <v>—</v>
      </c>
      <c r="H21" s="61" t="str">
        <f aca="false">IF(D21=0,"—",_xlfn.MAXIFS('SDE Plan'!$D$6:$D$78,'SDE Plan'!$F$6:$F$78,$C21,'SDE Plan'!$B$6:$B$78,"Yes"))</f>
        <v>—</v>
      </c>
      <c r="I21" s="132" t="n">
        <f aca="false">D21*Overview!$C$5</f>
        <v>0</v>
      </c>
    </row>
    <row r="22" customFormat="false" ht="30" hidden="false" customHeight="true" outlineLevel="0" collapsed="false">
      <c r="A22" s="134" t="s">
        <v>19</v>
      </c>
      <c r="B22" s="151" t="s">
        <v>36</v>
      </c>
      <c r="C22" s="152" t="s">
        <v>113</v>
      </c>
      <c r="D22" s="135" t="n">
        <f aca="false">COUNTIFS('SDE Plan'!$F$6:$F$78,$C22,'SDE Plan'!$B$6:$B$78,"Yes")</f>
        <v>0</v>
      </c>
      <c r="E22" s="135" t="n">
        <f aca="false">COUNTIFS('SDE Plan'!$F$6:$F$78,$C22,'SDE Plan'!$B$6:$B$78,"Yes",'SDE Plan'!$L$6:$L$78,"Done")</f>
        <v>0</v>
      </c>
      <c r="F22" s="136" t="n">
        <f aca="false">IF(D22=0,0,E22/D22)</f>
        <v>0</v>
      </c>
      <c r="G22" s="67" t="str">
        <f aca="false">IF(D22=0,"—",_xlfn.MINIFS('SDE Plan'!$C$6:$C$78,'SDE Plan'!$F$6:$F$78,$C22,'SDE Plan'!$B$6:$B$78,"Yes"))</f>
        <v>—</v>
      </c>
      <c r="H22" s="67" t="str">
        <f aca="false">IF(D22=0,"—",_xlfn.MAXIFS('SDE Plan'!$D$6:$D$78,'SDE Plan'!$F$6:$F$78,$C22,'SDE Plan'!$B$6:$B$78,"Yes"))</f>
        <v>—</v>
      </c>
      <c r="I22" s="135" t="n">
        <f aca="false">D22*Overview!$C$5</f>
        <v>0</v>
      </c>
    </row>
    <row r="23" customFormat="false" ht="30" hidden="false" customHeight="true" outlineLevel="0" collapsed="false">
      <c r="A23" s="129" t="s">
        <v>19</v>
      </c>
      <c r="B23" s="151" t="s">
        <v>36</v>
      </c>
      <c r="C23" s="152" t="s">
        <v>114</v>
      </c>
      <c r="D23" s="132" t="n">
        <f aca="false">COUNTIFS('SDE Plan'!$F$6:$F$78,$C23,'SDE Plan'!$B$6:$B$78,"Yes")</f>
        <v>0</v>
      </c>
      <c r="E23" s="132" t="n">
        <f aca="false">COUNTIFS('SDE Plan'!$F$6:$F$78,$C23,'SDE Plan'!$B$6:$B$78,"Yes",'SDE Plan'!$L$6:$L$78,"Done")</f>
        <v>0</v>
      </c>
      <c r="F23" s="133" t="n">
        <f aca="false">IF(D23=0,0,E23/D23)</f>
        <v>0</v>
      </c>
      <c r="G23" s="61" t="str">
        <f aca="false">IF(D23=0,"—",_xlfn.MINIFS('SDE Plan'!$C$6:$C$78,'SDE Plan'!$F$6:$F$78,$C23,'SDE Plan'!$B$6:$B$78,"Yes"))</f>
        <v>—</v>
      </c>
      <c r="H23" s="61" t="str">
        <f aca="false">IF(D23=0,"—",_xlfn.MAXIFS('SDE Plan'!$D$6:$D$78,'SDE Plan'!$F$6:$F$78,$C23,'SDE Plan'!$B$6:$B$78,"Yes"))</f>
        <v>—</v>
      </c>
      <c r="I23" s="132" t="n">
        <f aca="false">D23*Overview!$C$5</f>
        <v>0</v>
      </c>
    </row>
    <row r="24" customFormat="false" ht="30" hidden="false" customHeight="true" outlineLevel="0" collapsed="false">
      <c r="A24" s="134" t="s">
        <v>19</v>
      </c>
      <c r="B24" s="151" t="s">
        <v>36</v>
      </c>
      <c r="C24" s="152" t="s">
        <v>115</v>
      </c>
      <c r="D24" s="135" t="n">
        <f aca="false">COUNTIFS('SDE Plan'!$F$6:$F$78,$C24,'SDE Plan'!$B$6:$B$78,"Yes")</f>
        <v>0</v>
      </c>
      <c r="E24" s="135" t="n">
        <f aca="false">COUNTIFS('SDE Plan'!$F$6:$F$78,$C24,'SDE Plan'!$B$6:$B$78,"Yes",'SDE Plan'!$L$6:$L$78,"Done")</f>
        <v>0</v>
      </c>
      <c r="F24" s="136" t="n">
        <f aca="false">IF(D24=0,0,E24/D24)</f>
        <v>0</v>
      </c>
      <c r="G24" s="67" t="str">
        <f aca="false">IF(D24=0,"—",_xlfn.MINIFS('SDE Plan'!$C$6:$C$78,'SDE Plan'!$F$6:$F$78,$C24,'SDE Plan'!$B$6:$B$78,"Yes"))</f>
        <v>—</v>
      </c>
      <c r="H24" s="67" t="str">
        <f aca="false">IF(D24=0,"—",_xlfn.MAXIFS('SDE Plan'!$D$6:$D$78,'SDE Plan'!$F$6:$F$78,$C24,'SDE Plan'!$B$6:$B$78,"Yes"))</f>
        <v>—</v>
      </c>
      <c r="I24" s="135" t="n">
        <f aca="false">D24*Overview!$C$5</f>
        <v>0</v>
      </c>
    </row>
    <row r="25" customFormat="false" ht="30" hidden="false" customHeight="true" outlineLevel="0" collapsed="false">
      <c r="A25" s="129" t="s">
        <v>19</v>
      </c>
      <c r="B25" s="151" t="s">
        <v>36</v>
      </c>
      <c r="C25" s="152" t="s">
        <v>116</v>
      </c>
      <c r="D25" s="132" t="n">
        <f aca="false">COUNTIFS('SDE Plan'!$F$6:$F$78,$C25,'SDE Plan'!$B$6:$B$78,"Yes")</f>
        <v>0</v>
      </c>
      <c r="E25" s="132" t="n">
        <f aca="false">COUNTIFS('SDE Plan'!$F$6:$F$78,$C25,'SDE Plan'!$B$6:$B$78,"Yes",'SDE Plan'!$L$6:$L$78,"Done")</f>
        <v>0</v>
      </c>
      <c r="F25" s="133" t="n">
        <f aca="false">IF(D25=0,0,E25/D25)</f>
        <v>0</v>
      </c>
      <c r="G25" s="61" t="str">
        <f aca="false">IF(D25=0,"—",_xlfn.MINIFS('SDE Plan'!$C$6:$C$78,'SDE Plan'!$F$6:$F$78,$C25,'SDE Plan'!$B$6:$B$78,"Yes"))</f>
        <v>—</v>
      </c>
      <c r="H25" s="61" t="str">
        <f aca="false">IF(D25=0,"—",_xlfn.MAXIFS('SDE Plan'!$D$6:$D$78,'SDE Plan'!$F$6:$F$78,$C25,'SDE Plan'!$B$6:$B$78,"Yes"))</f>
        <v>—</v>
      </c>
      <c r="I25" s="132" t="n">
        <f aca="false">D25*Overview!$C$5</f>
        <v>0</v>
      </c>
    </row>
    <row r="26" customFormat="false" ht="30" hidden="false" customHeight="true" outlineLevel="0" collapsed="false">
      <c r="A26" s="153" t="s">
        <v>20</v>
      </c>
      <c r="B26" s="137" t="s">
        <v>22</v>
      </c>
      <c r="C26" s="138" t="s">
        <v>118</v>
      </c>
      <c r="D26" s="135" t="n">
        <f aca="false">COUNTIFS('FullStack Plan'!$F$6:$F$78,$C26,'FullStack Plan'!$B$6:$B$78,"Yes")</f>
        <v>2</v>
      </c>
      <c r="E26" s="135" t="n">
        <f aca="false">COUNTIFS('FullStack Plan'!$F$6:$F$78,$C26,'FullStack Plan'!$B$6:$B$78,"Yes",'FullStack Plan'!$L$6:$L$78,"Done")</f>
        <v>0</v>
      </c>
      <c r="F26" s="136" t="n">
        <f aca="false">IF(D26=0,0,E26/D26)</f>
        <v>0</v>
      </c>
      <c r="G26" s="67" t="n">
        <f aca="false">IF(D26=0,"—",_xlfn.MINIFS('FullStack Plan'!$C$6:$C$78,'FullStack Plan'!$F$6:$F$78,$C26,'FullStack Plan'!$B$6:$B$78,"Yes"))</f>
        <v>46307</v>
      </c>
      <c r="H26" s="67" t="n">
        <f aca="false">IF(D26=0,"—",_xlfn.MAXIFS('FullStack Plan'!$D$6:$D$78,'FullStack Plan'!$F$6:$F$78,$C26,'FullStack Plan'!$B$6:$B$78,"Yes"))</f>
        <v>46320</v>
      </c>
      <c r="I26" s="135" t="n">
        <f aca="false">D26*Overview!$C$5</f>
        <v>40</v>
      </c>
    </row>
    <row r="27" customFormat="false" ht="30" hidden="false" customHeight="true" outlineLevel="0" collapsed="false">
      <c r="A27" s="154" t="s">
        <v>20</v>
      </c>
      <c r="B27" s="137" t="s">
        <v>22</v>
      </c>
      <c r="C27" s="138" t="s">
        <v>119</v>
      </c>
      <c r="D27" s="132" t="n">
        <f aca="false">COUNTIFS('FullStack Plan'!$F$6:$F$78,$C27,'FullStack Plan'!$B$6:$B$78,"Yes")</f>
        <v>0</v>
      </c>
      <c r="E27" s="132" t="n">
        <f aca="false">COUNTIFS('FullStack Plan'!$F$6:$F$78,$C27,'FullStack Plan'!$B$6:$B$78,"Yes",'FullStack Plan'!$L$6:$L$78,"Done")</f>
        <v>0</v>
      </c>
      <c r="F27" s="133" t="n">
        <f aca="false">IF(D27=0,0,E27/D27)</f>
        <v>0</v>
      </c>
      <c r="G27" s="61" t="str">
        <f aca="false">IF(D27=0,"—",_xlfn.MINIFS('FullStack Plan'!$C$6:$C$78,'FullStack Plan'!$F$6:$F$78,$C27,'FullStack Plan'!$B$6:$B$78,"Yes"))</f>
        <v>—</v>
      </c>
      <c r="H27" s="61" t="str">
        <f aca="false">IF(D27=0,"—",_xlfn.MAXIFS('FullStack Plan'!$D$6:$D$78,'FullStack Plan'!$F$6:$F$78,$C27,'FullStack Plan'!$B$6:$B$78,"Yes"))</f>
        <v>—</v>
      </c>
      <c r="I27" s="132" t="n">
        <f aca="false">D27*Overview!$C$5</f>
        <v>0</v>
      </c>
    </row>
    <row r="28" customFormat="false" ht="30" hidden="false" customHeight="true" outlineLevel="0" collapsed="false">
      <c r="A28" s="153" t="s">
        <v>20</v>
      </c>
      <c r="B28" s="139" t="s">
        <v>24</v>
      </c>
      <c r="C28" s="140" t="s">
        <v>120</v>
      </c>
      <c r="D28" s="135" t="n">
        <f aca="false">COUNTIFS('FullStack Plan'!$F$6:$F$78,$C28,'FullStack Plan'!$B$6:$B$78,"Yes")</f>
        <v>6</v>
      </c>
      <c r="E28" s="135" t="n">
        <f aca="false">COUNTIFS('FullStack Plan'!$F$6:$F$78,$C28,'FullStack Plan'!$B$6:$B$78,"Yes",'FullStack Plan'!$L$6:$L$78,"Done")</f>
        <v>0</v>
      </c>
      <c r="F28" s="136" t="n">
        <f aca="false">IF(D28=0,0,E28/D28)</f>
        <v>0</v>
      </c>
      <c r="G28" s="67" t="n">
        <f aca="false">IF(D28=0,"—",_xlfn.MINIFS('FullStack Plan'!$C$6:$C$78,'FullStack Plan'!$F$6:$F$78,$C28,'FullStack Plan'!$B$6:$B$78,"Yes"))</f>
        <v>46321</v>
      </c>
      <c r="H28" s="67" t="n">
        <f aca="false">IF(D28=0,"—",_xlfn.MAXIFS('FullStack Plan'!$D$6:$D$78,'FullStack Plan'!$F$6:$F$78,$C28,'FullStack Plan'!$B$6:$B$78,"Yes"))</f>
        <v>46362</v>
      </c>
      <c r="I28" s="135" t="n">
        <f aca="false">D28*Overview!$C$5</f>
        <v>120</v>
      </c>
    </row>
    <row r="29" customFormat="false" ht="30" hidden="false" customHeight="true" outlineLevel="0" collapsed="false">
      <c r="A29" s="154" t="s">
        <v>20</v>
      </c>
      <c r="B29" s="139" t="s">
        <v>24</v>
      </c>
      <c r="C29" s="140" t="s">
        <v>121</v>
      </c>
      <c r="D29" s="132" t="n">
        <f aca="false">COUNTIFS('FullStack Plan'!$F$6:$F$78,$C29,'FullStack Plan'!$B$6:$B$78,"Yes")</f>
        <v>2</v>
      </c>
      <c r="E29" s="132" t="n">
        <f aca="false">COUNTIFS('FullStack Plan'!$F$6:$F$78,$C29,'FullStack Plan'!$B$6:$B$78,"Yes",'FullStack Plan'!$L$6:$L$78,"Done")</f>
        <v>0</v>
      </c>
      <c r="F29" s="133" t="n">
        <f aca="false">IF(D29=0,0,E29/D29)</f>
        <v>0</v>
      </c>
      <c r="G29" s="61" t="n">
        <f aca="false">IF(D29=0,"—",_xlfn.MINIFS('FullStack Plan'!$C$6:$C$78,'FullStack Plan'!$F$6:$F$78,$C29,'FullStack Plan'!$B$6:$B$78,"Yes"))</f>
        <v>46363</v>
      </c>
      <c r="H29" s="61" t="n">
        <f aca="false">IF(D29=0,"—",_xlfn.MAXIFS('FullStack Plan'!$D$6:$D$78,'FullStack Plan'!$F$6:$F$78,$C29,'FullStack Plan'!$B$6:$B$78,"Yes"))</f>
        <v>46376</v>
      </c>
      <c r="I29" s="132" t="n">
        <f aca="false">D29*Overview!$C$5</f>
        <v>40</v>
      </c>
    </row>
    <row r="30" customFormat="false" ht="30" hidden="false" customHeight="true" outlineLevel="0" collapsed="false">
      <c r="A30" s="153" t="s">
        <v>20</v>
      </c>
      <c r="B30" s="139" t="s">
        <v>24</v>
      </c>
      <c r="C30" s="140" t="s">
        <v>122</v>
      </c>
      <c r="D30" s="135" t="n">
        <f aca="false">COUNTIFS('FullStack Plan'!$F$6:$F$78,$C30,'FullStack Plan'!$B$6:$B$78,"Yes")</f>
        <v>0</v>
      </c>
      <c r="E30" s="135" t="n">
        <f aca="false">COUNTIFS('FullStack Plan'!$F$6:$F$78,$C30,'FullStack Plan'!$B$6:$B$78,"Yes",'FullStack Plan'!$L$6:$L$78,"Done")</f>
        <v>0</v>
      </c>
      <c r="F30" s="136" t="n">
        <f aca="false">IF(D30=0,0,E30/D30)</f>
        <v>0</v>
      </c>
      <c r="G30" s="67" t="str">
        <f aca="false">IF(D30=0,"—",_xlfn.MINIFS('FullStack Plan'!$C$6:$C$78,'FullStack Plan'!$F$6:$F$78,$C30,'FullStack Plan'!$B$6:$B$78,"Yes"))</f>
        <v>—</v>
      </c>
      <c r="H30" s="67" t="str">
        <f aca="false">IF(D30=0,"—",_xlfn.MAXIFS('FullStack Plan'!$D$6:$D$78,'FullStack Plan'!$F$6:$F$78,$C30,'FullStack Plan'!$B$6:$B$78,"Yes"))</f>
        <v>—</v>
      </c>
      <c r="I30" s="135" t="n">
        <f aca="false">D30*Overview!$C$5</f>
        <v>0</v>
      </c>
    </row>
    <row r="31" customFormat="false" ht="30" hidden="false" customHeight="true" outlineLevel="0" collapsed="false">
      <c r="A31" s="154" t="s">
        <v>20</v>
      </c>
      <c r="B31" s="141" t="s">
        <v>26</v>
      </c>
      <c r="C31" s="142" t="s">
        <v>123</v>
      </c>
      <c r="D31" s="132" t="n">
        <f aca="false">COUNTIFS('FullStack Plan'!$F$6:$F$78,$C31,'FullStack Plan'!$B$6:$B$78,"Yes")</f>
        <v>4</v>
      </c>
      <c r="E31" s="132" t="n">
        <f aca="false">COUNTIFS('FullStack Plan'!$F$6:$F$78,$C31,'FullStack Plan'!$B$6:$B$78,"Yes",'FullStack Plan'!$L$6:$L$78,"Done")</f>
        <v>0</v>
      </c>
      <c r="F31" s="133" t="n">
        <f aca="false">IF(D31=0,0,E31/D31)</f>
        <v>0</v>
      </c>
      <c r="G31" s="61" t="n">
        <f aca="false">IF(D31=0,"—",_xlfn.MINIFS('FullStack Plan'!$C$6:$C$78,'FullStack Plan'!$F$6:$F$78,$C31,'FullStack Plan'!$B$6:$B$78,"Yes"))</f>
        <v>46377</v>
      </c>
      <c r="H31" s="61" t="n">
        <f aca="false">IF(D31=0,"—",_xlfn.MAXIFS('FullStack Plan'!$D$6:$D$78,'FullStack Plan'!$F$6:$F$78,$C31,'FullStack Plan'!$B$6:$B$78,"Yes"))</f>
        <v>46404</v>
      </c>
      <c r="I31" s="132" t="n">
        <f aca="false">D31*Overview!$C$5</f>
        <v>80</v>
      </c>
    </row>
    <row r="32" customFormat="false" ht="30" hidden="false" customHeight="true" outlineLevel="0" collapsed="false">
      <c r="A32" s="153" t="s">
        <v>20</v>
      </c>
      <c r="B32" s="143" t="s">
        <v>29</v>
      </c>
      <c r="C32" s="144" t="s">
        <v>124</v>
      </c>
      <c r="D32" s="135" t="n">
        <f aca="false">COUNTIFS('FullStack Plan'!$F$6:$F$78,$C32,'FullStack Plan'!$B$6:$B$78,"Yes")</f>
        <v>4</v>
      </c>
      <c r="E32" s="135" t="n">
        <f aca="false">COUNTIFS('FullStack Plan'!$F$6:$F$78,$C32,'FullStack Plan'!$B$6:$B$78,"Yes",'FullStack Plan'!$L$6:$L$78,"Done")</f>
        <v>0</v>
      </c>
      <c r="F32" s="136" t="n">
        <f aca="false">IF(D32=0,0,E32/D32)</f>
        <v>0</v>
      </c>
      <c r="G32" s="67" t="n">
        <f aca="false">IF(D32=0,"—",_xlfn.MINIFS('FullStack Plan'!$C$6:$C$78,'FullStack Plan'!$F$6:$F$78,$C32,'FullStack Plan'!$B$6:$B$78,"Yes"))</f>
        <v>46405</v>
      </c>
      <c r="H32" s="67" t="n">
        <f aca="false">IF(D32=0,"—",_xlfn.MAXIFS('FullStack Plan'!$D$6:$D$78,'FullStack Plan'!$F$6:$F$78,$C32,'FullStack Plan'!$B$6:$B$78,"Yes"))</f>
        <v>46432</v>
      </c>
      <c r="I32" s="135" t="n">
        <f aca="false">D32*Overview!$C$5</f>
        <v>80</v>
      </c>
    </row>
    <row r="33" customFormat="false" ht="30" hidden="false" customHeight="true" outlineLevel="0" collapsed="false">
      <c r="A33" s="154" t="s">
        <v>20</v>
      </c>
      <c r="B33" s="143" t="s">
        <v>29</v>
      </c>
      <c r="C33" s="144" t="s">
        <v>104</v>
      </c>
      <c r="D33" s="132" t="n">
        <f aca="false">COUNTIFS('FullStack Plan'!$F$6:$F$78,$C33,'FullStack Plan'!$B$6:$B$78,"Yes")</f>
        <v>4</v>
      </c>
      <c r="E33" s="132" t="n">
        <f aca="false">COUNTIFS('FullStack Plan'!$F$6:$F$78,$C33,'FullStack Plan'!$B$6:$B$78,"Yes",'FullStack Plan'!$L$6:$L$78,"Done")</f>
        <v>0</v>
      </c>
      <c r="F33" s="133" t="n">
        <f aca="false">IF(D33=0,0,E33/D33)</f>
        <v>0</v>
      </c>
      <c r="G33" s="61" t="n">
        <f aca="false">IF(D33=0,"—",_xlfn.MINIFS('FullStack Plan'!$C$6:$C$78,'FullStack Plan'!$F$6:$F$78,$C33,'FullStack Plan'!$B$6:$B$78,"Yes"))</f>
        <v>46433</v>
      </c>
      <c r="H33" s="61" t="n">
        <f aca="false">IF(D33=0,"—",_xlfn.MAXIFS('FullStack Plan'!$D$6:$D$78,'FullStack Plan'!$F$6:$F$78,$C33,'FullStack Plan'!$B$6:$B$78,"Yes"))</f>
        <v>46460</v>
      </c>
      <c r="I33" s="132" t="n">
        <f aca="false">D33*Overview!$C$5</f>
        <v>80</v>
      </c>
    </row>
    <row r="34" customFormat="false" ht="30" hidden="false" customHeight="true" outlineLevel="0" collapsed="false">
      <c r="A34" s="153" t="s">
        <v>20</v>
      </c>
      <c r="B34" s="143" t="s">
        <v>29</v>
      </c>
      <c r="C34" s="144" t="s">
        <v>125</v>
      </c>
      <c r="D34" s="135" t="n">
        <f aca="false">COUNTIFS('FullStack Plan'!$F$6:$F$78,$C34,'FullStack Plan'!$B$6:$B$78,"Yes")</f>
        <v>2</v>
      </c>
      <c r="E34" s="135" t="n">
        <f aca="false">COUNTIFS('FullStack Plan'!$F$6:$F$78,$C34,'FullStack Plan'!$B$6:$B$78,"Yes",'FullStack Plan'!$L$6:$L$78,"Done")</f>
        <v>0</v>
      </c>
      <c r="F34" s="136" t="n">
        <f aca="false">IF(D34=0,0,E34/D34)</f>
        <v>0</v>
      </c>
      <c r="G34" s="67" t="n">
        <f aca="false">IF(D34=0,"—",_xlfn.MINIFS('FullStack Plan'!$C$6:$C$78,'FullStack Plan'!$F$6:$F$78,$C34,'FullStack Plan'!$B$6:$B$78,"Yes"))</f>
        <v>46461</v>
      </c>
      <c r="H34" s="67" t="n">
        <f aca="false">IF(D34=0,"—",_xlfn.MAXIFS('FullStack Plan'!$D$6:$D$78,'FullStack Plan'!$F$6:$F$78,$C34,'FullStack Plan'!$B$6:$B$78,"Yes"))</f>
        <v>46474</v>
      </c>
      <c r="I34" s="135" t="n">
        <f aca="false">D34*Overview!$C$5</f>
        <v>40</v>
      </c>
    </row>
    <row r="35" customFormat="false" ht="30" hidden="false" customHeight="true" outlineLevel="0" collapsed="false">
      <c r="A35" s="154" t="s">
        <v>20</v>
      </c>
      <c r="B35" s="145" t="s">
        <v>31</v>
      </c>
      <c r="C35" s="146" t="s">
        <v>126</v>
      </c>
      <c r="D35" s="132" t="n">
        <f aca="false">COUNTIFS('FullStack Plan'!$F$6:$F$78,$C35,'FullStack Plan'!$B$6:$B$78,"Yes")</f>
        <v>4</v>
      </c>
      <c r="E35" s="132" t="n">
        <f aca="false">COUNTIFS('FullStack Plan'!$F$6:$F$78,$C35,'FullStack Plan'!$B$6:$B$78,"Yes",'FullStack Plan'!$L$6:$L$78,"Done")</f>
        <v>0</v>
      </c>
      <c r="F35" s="133" t="n">
        <f aca="false">IF(D35=0,0,E35/D35)</f>
        <v>0</v>
      </c>
      <c r="G35" s="61" t="n">
        <f aca="false">IF(D35=0,"—",_xlfn.MINIFS('FullStack Plan'!$C$6:$C$78,'FullStack Plan'!$F$6:$F$78,$C35,'FullStack Plan'!$B$6:$B$78,"Yes"))</f>
        <v>46475</v>
      </c>
      <c r="H35" s="61" t="n">
        <f aca="false">IF(D35=0,"—",_xlfn.MAXIFS('FullStack Plan'!$D$6:$D$78,'FullStack Plan'!$F$6:$F$78,$C35,'FullStack Plan'!$B$6:$B$78,"Yes"))</f>
        <v>46502</v>
      </c>
      <c r="I35" s="132" t="n">
        <f aca="false">D35*Overview!$C$5</f>
        <v>80</v>
      </c>
    </row>
    <row r="36" customFormat="false" ht="30" hidden="false" customHeight="true" outlineLevel="0" collapsed="false">
      <c r="A36" s="153" t="s">
        <v>20</v>
      </c>
      <c r="B36" s="145" t="s">
        <v>31</v>
      </c>
      <c r="C36" s="146" t="s">
        <v>127</v>
      </c>
      <c r="D36" s="135" t="n">
        <f aca="false">COUNTIFS('FullStack Plan'!$F$6:$F$78,$C36,'FullStack Plan'!$B$6:$B$78,"Yes")</f>
        <v>2</v>
      </c>
      <c r="E36" s="135" t="n">
        <f aca="false">COUNTIFS('FullStack Plan'!$F$6:$F$78,$C36,'FullStack Plan'!$B$6:$B$78,"Yes",'FullStack Plan'!$L$6:$L$78,"Done")</f>
        <v>0</v>
      </c>
      <c r="F36" s="136" t="n">
        <f aca="false">IF(D36=0,0,E36/D36)</f>
        <v>0</v>
      </c>
      <c r="G36" s="67" t="n">
        <f aca="false">IF(D36=0,"—",_xlfn.MINIFS('FullStack Plan'!$C$6:$C$78,'FullStack Plan'!$F$6:$F$78,$C36,'FullStack Plan'!$B$6:$B$78,"Yes"))</f>
        <v>46503</v>
      </c>
      <c r="H36" s="67" t="n">
        <f aca="false">IF(D36=0,"—",_xlfn.MAXIFS('FullStack Plan'!$D$6:$D$78,'FullStack Plan'!$F$6:$F$78,$C36,'FullStack Plan'!$B$6:$B$78,"Yes"))</f>
        <v>46516</v>
      </c>
      <c r="I36" s="135" t="n">
        <f aca="false">D36*Overview!$C$5</f>
        <v>40</v>
      </c>
    </row>
    <row r="37" customFormat="false" ht="30" hidden="false" customHeight="true" outlineLevel="0" collapsed="false">
      <c r="A37" s="154" t="s">
        <v>20</v>
      </c>
      <c r="B37" s="147" t="s">
        <v>32</v>
      </c>
      <c r="C37" s="148" t="s">
        <v>128</v>
      </c>
      <c r="D37" s="132" t="n">
        <f aca="false">COUNTIFS('FullStack Plan'!$F$6:$F$78,$C37,'FullStack Plan'!$B$6:$B$78,"Yes")</f>
        <v>3</v>
      </c>
      <c r="E37" s="132" t="n">
        <f aca="false">COUNTIFS('FullStack Plan'!$F$6:$F$78,$C37,'FullStack Plan'!$B$6:$B$78,"Yes",'FullStack Plan'!$L$6:$L$78,"Done")</f>
        <v>0</v>
      </c>
      <c r="F37" s="133" t="n">
        <f aca="false">IF(D37=0,0,E37/D37)</f>
        <v>0</v>
      </c>
      <c r="G37" s="61" t="n">
        <f aca="false">IF(D37=0,"—",_xlfn.MINIFS('FullStack Plan'!$C$6:$C$78,'FullStack Plan'!$F$6:$F$78,$C37,'FullStack Plan'!$B$6:$B$78,"Yes"))</f>
        <v>46517</v>
      </c>
      <c r="H37" s="61" t="n">
        <f aca="false">IF(D37=0,"—",_xlfn.MAXIFS('FullStack Plan'!$D$6:$D$78,'FullStack Plan'!$F$6:$F$78,$C37,'FullStack Plan'!$B$6:$B$78,"Yes"))</f>
        <v>46537</v>
      </c>
      <c r="I37" s="132" t="n">
        <f aca="false">D37*Overview!$C$5</f>
        <v>60</v>
      </c>
    </row>
    <row r="38" customFormat="false" ht="30" hidden="false" customHeight="true" outlineLevel="0" collapsed="false">
      <c r="A38" s="153" t="s">
        <v>20</v>
      </c>
      <c r="B38" s="149" t="s">
        <v>35</v>
      </c>
      <c r="C38" s="150" t="s">
        <v>98</v>
      </c>
      <c r="D38" s="135" t="n">
        <f aca="false">COUNTIFS('FullStack Plan'!$F$6:$F$78,$C38,'FullStack Plan'!$B$6:$B$78,"Yes")</f>
        <v>4</v>
      </c>
      <c r="E38" s="135" t="n">
        <f aca="false">COUNTIFS('FullStack Plan'!$F$6:$F$78,$C38,'FullStack Plan'!$B$6:$B$78,"Yes",'FullStack Plan'!$L$6:$L$78,"Done")</f>
        <v>0</v>
      </c>
      <c r="F38" s="136" t="n">
        <f aca="false">IF(D38=0,0,E38/D38)</f>
        <v>0</v>
      </c>
      <c r="G38" s="67" t="n">
        <f aca="false">IF(D38=0,"—",_xlfn.MINIFS('FullStack Plan'!$C$6:$C$78,'FullStack Plan'!$F$6:$F$78,$C38,'FullStack Plan'!$B$6:$B$78,"Yes"))</f>
        <v>46538</v>
      </c>
      <c r="H38" s="67" t="n">
        <f aca="false">IF(D38=0,"—",_xlfn.MAXIFS('FullStack Plan'!$D$6:$D$78,'FullStack Plan'!$F$6:$F$78,$C38,'FullStack Plan'!$B$6:$B$78,"Yes"))</f>
        <v>46565</v>
      </c>
      <c r="I38" s="135" t="n">
        <f aca="false">D38*Overview!$C$5</f>
        <v>80</v>
      </c>
    </row>
    <row r="39" customFormat="false" ht="30" hidden="false" customHeight="true" outlineLevel="0" collapsed="false">
      <c r="A39" s="154" t="s">
        <v>20</v>
      </c>
      <c r="B39" s="149" t="s">
        <v>35</v>
      </c>
      <c r="C39" s="150" t="s">
        <v>111</v>
      </c>
      <c r="D39" s="132" t="n">
        <f aca="false">COUNTIFS('FullStack Plan'!$F$6:$F$78,$C39,'FullStack Plan'!$B$6:$B$78,"Yes")</f>
        <v>2</v>
      </c>
      <c r="E39" s="132" t="n">
        <f aca="false">COUNTIFS('FullStack Plan'!$F$6:$F$78,$C39,'FullStack Plan'!$B$6:$B$78,"Yes",'FullStack Plan'!$L$6:$L$78,"Done")</f>
        <v>0</v>
      </c>
      <c r="F39" s="133" t="n">
        <f aca="false">IF(D39=0,0,E39/D39)</f>
        <v>0</v>
      </c>
      <c r="G39" s="61" t="n">
        <f aca="false">IF(D39=0,"—",_xlfn.MINIFS('FullStack Plan'!$C$6:$C$78,'FullStack Plan'!$F$6:$F$78,$C39,'FullStack Plan'!$B$6:$B$78,"Yes"))</f>
        <v>46566</v>
      </c>
      <c r="H39" s="61" t="n">
        <f aca="false">IF(D39=0,"—",_xlfn.MAXIFS('FullStack Plan'!$D$6:$D$78,'FullStack Plan'!$F$6:$F$78,$C39,'FullStack Plan'!$B$6:$B$78,"Yes"))</f>
        <v>46579</v>
      </c>
      <c r="I39" s="132" t="n">
        <f aca="false">D39*Overview!$C$5</f>
        <v>40</v>
      </c>
    </row>
    <row r="40" customFormat="false" ht="30" hidden="false" customHeight="true" outlineLevel="0" collapsed="false">
      <c r="A40" s="153" t="s">
        <v>20</v>
      </c>
      <c r="B40" s="151" t="s">
        <v>37</v>
      </c>
      <c r="C40" s="152" t="s">
        <v>129</v>
      </c>
      <c r="D40" s="135" t="n">
        <f aca="false">COUNTIFS('FullStack Plan'!$F$6:$F$78,$C40,'FullStack Plan'!$B$6:$B$78,"Yes")</f>
        <v>0</v>
      </c>
      <c r="E40" s="135" t="n">
        <f aca="false">COUNTIFS('FullStack Plan'!$F$6:$F$78,$C40,'FullStack Plan'!$B$6:$B$78,"Yes",'FullStack Plan'!$L$6:$L$78,"Done")</f>
        <v>0</v>
      </c>
      <c r="F40" s="136" t="n">
        <f aca="false">IF(D40=0,0,E40/D40)</f>
        <v>0</v>
      </c>
      <c r="G40" s="67" t="str">
        <f aca="false">IF(D40=0,"—",_xlfn.MINIFS('FullStack Plan'!$C$6:$C$78,'FullStack Plan'!$F$6:$F$78,$C40,'FullStack Plan'!$B$6:$B$78,"Yes"))</f>
        <v>—</v>
      </c>
      <c r="H40" s="67" t="str">
        <f aca="false">IF(D40=0,"—",_xlfn.MAXIFS('FullStack Plan'!$D$6:$D$78,'FullStack Plan'!$F$6:$F$78,$C40,'FullStack Plan'!$B$6:$B$78,"Yes"))</f>
        <v>—</v>
      </c>
      <c r="I40" s="135" t="n">
        <f aca="false">D40*Overview!$C$5</f>
        <v>0</v>
      </c>
    </row>
    <row r="41" customFormat="false" ht="30" hidden="false" customHeight="true" outlineLevel="0" collapsed="false">
      <c r="A41" s="154" t="s">
        <v>20</v>
      </c>
      <c r="B41" s="151" t="s">
        <v>37</v>
      </c>
      <c r="C41" s="152" t="s">
        <v>130</v>
      </c>
      <c r="D41" s="132" t="n">
        <f aca="false">COUNTIFS('FullStack Plan'!$F$6:$F$78,$C41,'FullStack Plan'!$B$6:$B$78,"Yes")</f>
        <v>0</v>
      </c>
      <c r="E41" s="132" t="n">
        <f aca="false">COUNTIFS('FullStack Plan'!$F$6:$F$78,$C41,'FullStack Plan'!$B$6:$B$78,"Yes",'FullStack Plan'!$L$6:$L$78,"Done")</f>
        <v>0</v>
      </c>
      <c r="F41" s="133" t="n">
        <f aca="false">IF(D41=0,0,E41/D41)</f>
        <v>0</v>
      </c>
      <c r="G41" s="61" t="str">
        <f aca="false">IF(D41=0,"—",_xlfn.MINIFS('FullStack Plan'!$C$6:$C$78,'FullStack Plan'!$F$6:$F$78,$C41,'FullStack Plan'!$B$6:$B$78,"Yes"))</f>
        <v>—</v>
      </c>
      <c r="H41" s="61" t="str">
        <f aca="false">IF(D41=0,"—",_xlfn.MAXIFS('FullStack Plan'!$D$6:$D$78,'FullStack Plan'!$F$6:$F$78,$C41,'FullStack Plan'!$B$6:$B$78,"Yes"))</f>
        <v>—</v>
      </c>
      <c r="I41" s="132" t="n">
        <f aca="false">D41*Overview!$C$5</f>
        <v>0</v>
      </c>
    </row>
    <row r="42" customFormat="false" ht="30" hidden="false" customHeight="true" outlineLevel="0" collapsed="false">
      <c r="A42" s="153" t="s">
        <v>20</v>
      </c>
      <c r="B42" s="151" t="s">
        <v>37</v>
      </c>
      <c r="C42" s="152" t="s">
        <v>131</v>
      </c>
      <c r="D42" s="135" t="n">
        <f aca="false">COUNTIFS('FullStack Plan'!$F$6:$F$78,$C42,'FullStack Plan'!$B$6:$B$78,"Yes")</f>
        <v>0</v>
      </c>
      <c r="E42" s="135" t="n">
        <f aca="false">COUNTIFS('FullStack Plan'!$F$6:$F$78,$C42,'FullStack Plan'!$B$6:$B$78,"Yes",'FullStack Plan'!$L$6:$L$78,"Done")</f>
        <v>0</v>
      </c>
      <c r="F42" s="136" t="n">
        <f aca="false">IF(D42=0,0,E42/D42)</f>
        <v>0</v>
      </c>
      <c r="G42" s="67" t="str">
        <f aca="false">IF(D42=0,"—",_xlfn.MINIFS('FullStack Plan'!$C$6:$C$78,'FullStack Plan'!$F$6:$F$78,$C42,'FullStack Plan'!$B$6:$B$78,"Yes"))</f>
        <v>—</v>
      </c>
      <c r="H42" s="67" t="str">
        <f aca="false">IF(D42=0,"—",_xlfn.MAXIFS('FullStack Plan'!$D$6:$D$78,'FullStack Plan'!$F$6:$F$78,$C42,'FullStack Plan'!$B$6:$B$78,"Yes"))</f>
        <v>—</v>
      </c>
      <c r="I42" s="135" t="n">
        <f aca="false">D42*Overview!$C$5</f>
        <v>0</v>
      </c>
    </row>
    <row r="43" customFormat="false" ht="30" hidden="false" customHeight="true" outlineLevel="0" collapsed="false">
      <c r="A43" s="154" t="s">
        <v>20</v>
      </c>
      <c r="B43" s="151" t="s">
        <v>37</v>
      </c>
      <c r="C43" s="152" t="s">
        <v>132</v>
      </c>
      <c r="D43" s="132" t="n">
        <f aca="false">COUNTIFS('FullStack Plan'!$F$6:$F$78,$C43,'FullStack Plan'!$B$6:$B$78,"Yes")</f>
        <v>0</v>
      </c>
      <c r="E43" s="132" t="n">
        <f aca="false">COUNTIFS('FullStack Plan'!$F$6:$F$78,$C43,'FullStack Plan'!$B$6:$B$78,"Yes",'FullStack Plan'!$L$6:$L$78,"Done")</f>
        <v>0</v>
      </c>
      <c r="F43" s="133" t="n">
        <f aca="false">IF(D43=0,0,E43/D43)</f>
        <v>0</v>
      </c>
      <c r="G43" s="61" t="str">
        <f aca="false">IF(D43=0,"—",_xlfn.MINIFS('FullStack Plan'!$C$6:$C$78,'FullStack Plan'!$F$6:$F$78,$C43,'FullStack Plan'!$B$6:$B$78,"Yes"))</f>
        <v>—</v>
      </c>
      <c r="H43" s="61" t="str">
        <f aca="false">IF(D43=0,"—",_xlfn.MAXIFS('FullStack Plan'!$D$6:$D$78,'FullStack Plan'!$F$6:$F$78,$C43,'FullStack Plan'!$B$6:$B$78,"Yes"))</f>
        <v>—</v>
      </c>
      <c r="I43" s="132" t="n">
        <f aca="false">D43*Overview!$C$5</f>
        <v>0</v>
      </c>
    </row>
  </sheetData>
  <conditionalFormatting sqref="A5:I43">
    <cfRule type="expression" priority="2" aboveAverage="0" equalAverage="0" bottom="0" percent="0" rank="0" text="" dxfId="42">
      <formula>$D5=0</formula>
    </cfRule>
  </conditionalFormatting>
  <conditionalFormatting sqref="F5:F43">
    <cfRule type="dataBar" priority="3">
      <dataBar showValue="1" minLength="10" maxLength="90">
        <cfvo type="num" val="0"/>
        <cfvo type="num" val="1"/>
        <color rgb="FF22C55E"/>
      </dataBar>
      <extLst>
        <ext xmlns:x14="http://schemas.microsoft.com/office/spreadsheetml/2009/9/main" uri="{B025F937-C7B1-47D3-B67F-A62EFF666E3E}">
          <x14:id>{95AD2210-3850-4460-9C34-5E45F40081A8}</x14:id>
        </ext>
      </extLst>
    </cfRule>
  </conditionalFormatting>
  <printOptions headings="false" gridLines="false" gridLinesSet="true" horizontalCentered="false" verticalCentered="false"/>
  <pageMargins left="0.4" right="0.4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Developed by Rajesh Kumar Singh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AD2210-3850-4460-9C34-5E45F40081A8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2C55E"/>
              <x14:axisColor rgb="FF000000"/>
            </x14:dataBar>
          </x14:cfRule>
          <xm:sqref>F5:F43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true"/>
  </sheetPr>
  <dimension ref="A1:H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46"/>
    <col collapsed="false" customWidth="true" hidden="false" outlineLevel="0" max="6" min="4" style="0" width="28"/>
    <col collapsed="false" customWidth="true" hidden="false" outlineLevel="0" max="7" min="7" style="0" width="32"/>
    <col collapsed="false" customWidth="true" hidden="false" outlineLevel="0" max="8" min="8" style="0" width="40"/>
  </cols>
  <sheetData>
    <row r="1" customFormat="false" ht="42" hidden="false" customHeight="true" outlineLevel="0" collapsed="false">
      <c r="A1" s="1" t="s">
        <v>568</v>
      </c>
      <c r="B1" s="3"/>
      <c r="C1" s="3"/>
      <c r="D1" s="3"/>
      <c r="E1" s="3"/>
      <c r="F1" s="3"/>
      <c r="G1" s="3"/>
      <c r="H1" s="3"/>
    </row>
    <row r="2" customFormat="false" ht="24" hidden="false" customHeight="true" outlineLevel="0" collapsed="false">
      <c r="A2" s="78" t="s">
        <v>569</v>
      </c>
      <c r="B2" s="78"/>
      <c r="C2" s="78"/>
      <c r="D2" s="78"/>
      <c r="E2" s="78"/>
      <c r="F2" s="78"/>
      <c r="G2" s="78"/>
      <c r="H2" s="78"/>
    </row>
    <row r="3" customFormat="false" ht="7.5" hidden="false" customHeight="true" outlineLevel="0" collapsed="false"/>
    <row r="4" customFormat="false" ht="33.75" hidden="false" customHeight="true" outlineLevel="0" collapsed="false">
      <c r="A4" s="34" t="s">
        <v>91</v>
      </c>
      <c r="B4" s="34" t="s">
        <v>18</v>
      </c>
      <c r="C4" s="34" t="s">
        <v>92</v>
      </c>
      <c r="D4" s="34" t="s">
        <v>570</v>
      </c>
      <c r="E4" s="34" t="s">
        <v>571</v>
      </c>
      <c r="F4" s="34" t="s">
        <v>572</v>
      </c>
      <c r="G4" s="34" t="s">
        <v>573</v>
      </c>
      <c r="H4" s="34" t="s">
        <v>574</v>
      </c>
    </row>
    <row r="5" customFormat="false" ht="31.5" hidden="false" customHeight="true" outlineLevel="0" collapsed="false">
      <c r="A5" s="60" t="s">
        <v>19</v>
      </c>
      <c r="B5" s="131" t="s">
        <v>21</v>
      </c>
      <c r="C5" s="100" t="s">
        <v>96</v>
      </c>
      <c r="D5" s="155" t="s">
        <v>575</v>
      </c>
      <c r="E5" s="155" t="s">
        <v>576</v>
      </c>
      <c r="F5" s="155" t="s">
        <v>577</v>
      </c>
      <c r="G5" s="155" t="s">
        <v>578</v>
      </c>
      <c r="H5" s="62" t="s">
        <v>579</v>
      </c>
    </row>
    <row r="6" customFormat="false" ht="31.5" hidden="false" customHeight="true" outlineLevel="0" collapsed="false">
      <c r="A6" s="66" t="s">
        <v>19</v>
      </c>
      <c r="B6" s="131" t="s">
        <v>21</v>
      </c>
      <c r="C6" s="100" t="s">
        <v>97</v>
      </c>
      <c r="D6" s="156" t="s">
        <v>575</v>
      </c>
      <c r="E6" s="156" t="s">
        <v>576</v>
      </c>
      <c r="F6" s="156" t="s">
        <v>577</v>
      </c>
      <c r="G6" s="156" t="s">
        <v>580</v>
      </c>
      <c r="H6" s="68" t="s">
        <v>579</v>
      </c>
    </row>
    <row r="7" customFormat="false" ht="31.5" hidden="false" customHeight="true" outlineLevel="0" collapsed="false">
      <c r="A7" s="60" t="s">
        <v>581</v>
      </c>
      <c r="B7" s="138" t="s">
        <v>23</v>
      </c>
      <c r="C7" s="107" t="s">
        <v>98</v>
      </c>
      <c r="D7" s="155" t="s">
        <v>582</v>
      </c>
      <c r="E7" s="155" t="s">
        <v>583</v>
      </c>
      <c r="F7" s="155" t="s">
        <v>584</v>
      </c>
      <c r="G7" s="155" t="s">
        <v>585</v>
      </c>
      <c r="H7" s="62" t="s">
        <v>586</v>
      </c>
    </row>
    <row r="8" customFormat="false" ht="31.5" hidden="false" customHeight="true" outlineLevel="0" collapsed="false">
      <c r="A8" s="66" t="s">
        <v>19</v>
      </c>
      <c r="B8" s="140" t="s">
        <v>25</v>
      </c>
      <c r="C8" s="110" t="s">
        <v>99</v>
      </c>
      <c r="D8" s="156" t="s">
        <v>587</v>
      </c>
      <c r="E8" s="156" t="s">
        <v>588</v>
      </c>
      <c r="F8" s="156" t="s">
        <v>589</v>
      </c>
      <c r="G8" s="156" t="s">
        <v>590</v>
      </c>
      <c r="H8" s="68" t="s">
        <v>591</v>
      </c>
    </row>
    <row r="9" customFormat="false" ht="31.5" hidden="false" customHeight="true" outlineLevel="0" collapsed="false">
      <c r="A9" s="60" t="s">
        <v>19</v>
      </c>
      <c r="B9" s="142" t="s">
        <v>27</v>
      </c>
      <c r="C9" s="113" t="s">
        <v>100</v>
      </c>
      <c r="D9" s="155" t="s">
        <v>583</v>
      </c>
      <c r="E9" s="155" t="s">
        <v>592</v>
      </c>
      <c r="F9" s="155" t="s">
        <v>584</v>
      </c>
      <c r="G9" s="155" t="s">
        <v>593</v>
      </c>
      <c r="H9" s="62" t="s">
        <v>594</v>
      </c>
    </row>
    <row r="10" customFormat="false" ht="31.5" hidden="false" customHeight="true" outlineLevel="0" collapsed="false">
      <c r="A10" s="66" t="s">
        <v>19</v>
      </c>
      <c r="B10" s="142" t="s">
        <v>27</v>
      </c>
      <c r="C10" s="113" t="s">
        <v>101</v>
      </c>
      <c r="D10" s="156" t="s">
        <v>583</v>
      </c>
      <c r="E10" s="156" t="s">
        <v>582</v>
      </c>
      <c r="F10" s="156" t="s">
        <v>584</v>
      </c>
      <c r="G10" s="156" t="s">
        <v>593</v>
      </c>
      <c r="H10" s="68" t="s">
        <v>594</v>
      </c>
    </row>
    <row r="11" customFormat="false" ht="31.5" hidden="false" customHeight="true" outlineLevel="0" collapsed="false">
      <c r="A11" s="60" t="s">
        <v>19</v>
      </c>
      <c r="B11" s="142" t="s">
        <v>27</v>
      </c>
      <c r="C11" s="113" t="s">
        <v>102</v>
      </c>
      <c r="D11" s="155" t="s">
        <v>583</v>
      </c>
      <c r="E11" s="155" t="s">
        <v>592</v>
      </c>
      <c r="F11" s="155" t="s">
        <v>584</v>
      </c>
      <c r="G11" s="155" t="s">
        <v>593</v>
      </c>
      <c r="H11" s="62" t="s">
        <v>594</v>
      </c>
    </row>
    <row r="12" customFormat="false" ht="31.5" hidden="false" customHeight="true" outlineLevel="0" collapsed="false">
      <c r="A12" s="66" t="s">
        <v>19</v>
      </c>
      <c r="B12" s="142" t="s">
        <v>27</v>
      </c>
      <c r="C12" s="113" t="s">
        <v>103</v>
      </c>
      <c r="D12" s="156" t="s">
        <v>592</v>
      </c>
      <c r="E12" s="156" t="s">
        <v>582</v>
      </c>
      <c r="F12" s="156" t="s">
        <v>584</v>
      </c>
      <c r="G12" s="156" t="s">
        <v>593</v>
      </c>
      <c r="H12" s="68" t="s">
        <v>595</v>
      </c>
    </row>
    <row r="13" customFormat="false" ht="31.5" hidden="false" customHeight="true" outlineLevel="0" collapsed="false">
      <c r="A13" s="60" t="s">
        <v>581</v>
      </c>
      <c r="B13" s="144" t="s">
        <v>28</v>
      </c>
      <c r="C13" s="116" t="s">
        <v>104</v>
      </c>
      <c r="D13" s="155" t="s">
        <v>596</v>
      </c>
      <c r="E13" s="155" t="s">
        <v>597</v>
      </c>
      <c r="F13" s="155" t="s">
        <v>598</v>
      </c>
      <c r="G13" s="155" t="s">
        <v>599</v>
      </c>
      <c r="H13" s="62" t="s">
        <v>600</v>
      </c>
    </row>
    <row r="14" customFormat="false" ht="31.5" hidden="false" customHeight="true" outlineLevel="0" collapsed="false">
      <c r="A14" s="66" t="s">
        <v>19</v>
      </c>
      <c r="B14" s="146" t="s">
        <v>30</v>
      </c>
      <c r="C14" s="119" t="s">
        <v>105</v>
      </c>
      <c r="D14" s="156" t="s">
        <v>576</v>
      </c>
      <c r="E14" s="156" t="s">
        <v>601</v>
      </c>
      <c r="F14" s="156" t="s">
        <v>602</v>
      </c>
      <c r="G14" s="156" t="s">
        <v>603</v>
      </c>
      <c r="H14" s="68" t="s">
        <v>604</v>
      </c>
    </row>
    <row r="15" customFormat="false" ht="31.5" hidden="false" customHeight="true" outlineLevel="0" collapsed="false">
      <c r="A15" s="60" t="s">
        <v>19</v>
      </c>
      <c r="B15" s="146" t="s">
        <v>30</v>
      </c>
      <c r="C15" s="119" t="s">
        <v>106</v>
      </c>
      <c r="D15" s="155" t="s">
        <v>605</v>
      </c>
      <c r="E15" s="155" t="s">
        <v>606</v>
      </c>
      <c r="F15" s="155" t="s">
        <v>607</v>
      </c>
      <c r="G15" s="155" t="s">
        <v>608</v>
      </c>
      <c r="H15" s="62" t="s">
        <v>609</v>
      </c>
    </row>
    <row r="16" customFormat="false" ht="31.5" hidden="false" customHeight="true" outlineLevel="0" collapsed="false">
      <c r="A16" s="66" t="s">
        <v>19</v>
      </c>
      <c r="B16" s="146" t="s">
        <v>30</v>
      </c>
      <c r="C16" s="119" t="s">
        <v>107</v>
      </c>
      <c r="D16" s="156" t="s">
        <v>605</v>
      </c>
      <c r="E16" s="156" t="s">
        <v>576</v>
      </c>
      <c r="F16" s="156" t="s">
        <v>610</v>
      </c>
      <c r="G16" s="156" t="s">
        <v>611</v>
      </c>
      <c r="H16" s="68" t="s">
        <v>612</v>
      </c>
    </row>
    <row r="17" customFormat="false" ht="31.5" hidden="false" customHeight="true" outlineLevel="0" collapsed="false">
      <c r="A17" s="60" t="s">
        <v>19</v>
      </c>
      <c r="B17" s="146" t="s">
        <v>30</v>
      </c>
      <c r="C17" s="119" t="s">
        <v>108</v>
      </c>
      <c r="D17" s="155" t="s">
        <v>613</v>
      </c>
      <c r="E17" s="155" t="s">
        <v>614</v>
      </c>
      <c r="F17" s="155" t="s">
        <v>615</v>
      </c>
      <c r="G17" s="155" t="s">
        <v>616</v>
      </c>
      <c r="H17" s="62" t="s">
        <v>617</v>
      </c>
    </row>
    <row r="18" customFormat="false" ht="31.5" hidden="false" customHeight="true" outlineLevel="0" collapsed="false">
      <c r="A18" s="66" t="s">
        <v>19</v>
      </c>
      <c r="B18" s="146" t="s">
        <v>30</v>
      </c>
      <c r="C18" s="119" t="s">
        <v>109</v>
      </c>
      <c r="D18" s="156" t="s">
        <v>618</v>
      </c>
      <c r="E18" s="156" t="s">
        <v>619</v>
      </c>
      <c r="F18" s="156" t="s">
        <v>620</v>
      </c>
      <c r="G18" s="156" t="s">
        <v>621</v>
      </c>
      <c r="H18" s="68" t="s">
        <v>622</v>
      </c>
    </row>
    <row r="19" customFormat="false" ht="31.5" hidden="false" customHeight="true" outlineLevel="0" collapsed="false">
      <c r="A19" s="60" t="s">
        <v>19</v>
      </c>
      <c r="B19" s="148" t="s">
        <v>33</v>
      </c>
      <c r="C19" s="122" t="s">
        <v>110</v>
      </c>
      <c r="D19" s="155" t="s">
        <v>623</v>
      </c>
      <c r="E19" s="155" t="s">
        <v>624</v>
      </c>
      <c r="F19" s="155" t="s">
        <v>625</v>
      </c>
      <c r="G19" s="155" t="s">
        <v>626</v>
      </c>
      <c r="H19" s="62" t="s">
        <v>627</v>
      </c>
    </row>
    <row r="20" customFormat="false" ht="31.5" hidden="false" customHeight="true" outlineLevel="0" collapsed="false">
      <c r="A20" s="66" t="s">
        <v>581</v>
      </c>
      <c r="B20" s="150" t="s">
        <v>34</v>
      </c>
      <c r="C20" s="125" t="s">
        <v>111</v>
      </c>
      <c r="D20" s="156" t="s">
        <v>610</v>
      </c>
      <c r="E20" s="156" t="s">
        <v>628</v>
      </c>
      <c r="F20" s="156" t="s">
        <v>623</v>
      </c>
      <c r="G20" s="156" t="s">
        <v>629</v>
      </c>
      <c r="H20" s="68" t="s">
        <v>630</v>
      </c>
    </row>
    <row r="21" customFormat="false" ht="31.5" hidden="false" customHeight="true" outlineLevel="0" collapsed="false">
      <c r="A21" s="60" t="s">
        <v>19</v>
      </c>
      <c r="B21" s="152" t="s">
        <v>36</v>
      </c>
      <c r="C21" s="128" t="s">
        <v>112</v>
      </c>
      <c r="D21" s="155" t="s">
        <v>631</v>
      </c>
      <c r="E21" s="155" t="s">
        <v>632</v>
      </c>
      <c r="F21" s="155" t="s">
        <v>633</v>
      </c>
      <c r="G21" s="155" t="s">
        <v>634</v>
      </c>
      <c r="H21" s="62" t="s">
        <v>635</v>
      </c>
    </row>
    <row r="22" customFormat="false" ht="31.5" hidden="false" customHeight="true" outlineLevel="0" collapsed="false">
      <c r="A22" s="66" t="s">
        <v>19</v>
      </c>
      <c r="B22" s="152" t="s">
        <v>36</v>
      </c>
      <c r="C22" s="128" t="s">
        <v>113</v>
      </c>
      <c r="D22" s="156" t="s">
        <v>592</v>
      </c>
      <c r="E22" s="156" t="s">
        <v>582</v>
      </c>
      <c r="F22" s="156" t="s">
        <v>584</v>
      </c>
      <c r="G22" s="156" t="s">
        <v>636</v>
      </c>
      <c r="H22" s="68" t="s">
        <v>637</v>
      </c>
    </row>
    <row r="23" customFormat="false" ht="31.5" hidden="false" customHeight="true" outlineLevel="0" collapsed="false">
      <c r="A23" s="60" t="s">
        <v>19</v>
      </c>
      <c r="B23" s="152" t="s">
        <v>36</v>
      </c>
      <c r="C23" s="128" t="s">
        <v>114</v>
      </c>
      <c r="D23" s="155" t="s">
        <v>638</v>
      </c>
      <c r="E23" s="155" t="s">
        <v>631</v>
      </c>
      <c r="F23" s="155" t="s">
        <v>632</v>
      </c>
      <c r="G23" s="155" t="s">
        <v>639</v>
      </c>
      <c r="H23" s="62" t="s">
        <v>640</v>
      </c>
    </row>
    <row r="24" customFormat="false" ht="31.5" hidden="false" customHeight="true" outlineLevel="0" collapsed="false">
      <c r="A24" s="66" t="s">
        <v>19</v>
      </c>
      <c r="B24" s="152" t="s">
        <v>36</v>
      </c>
      <c r="C24" s="128" t="s">
        <v>115</v>
      </c>
      <c r="D24" s="156" t="s">
        <v>641</v>
      </c>
      <c r="E24" s="156" t="s">
        <v>642</v>
      </c>
      <c r="F24" s="156" t="s">
        <v>625</v>
      </c>
      <c r="G24" s="156" t="s">
        <v>643</v>
      </c>
      <c r="H24" s="68" t="s">
        <v>644</v>
      </c>
    </row>
    <row r="25" customFormat="false" ht="31.5" hidden="false" customHeight="true" outlineLevel="0" collapsed="false">
      <c r="A25" s="60" t="s">
        <v>19</v>
      </c>
      <c r="B25" s="152" t="s">
        <v>36</v>
      </c>
      <c r="C25" s="128" t="s">
        <v>116</v>
      </c>
      <c r="D25" s="155" t="s">
        <v>645</v>
      </c>
      <c r="E25" s="155" t="s">
        <v>646</v>
      </c>
      <c r="F25" s="155" t="s">
        <v>647</v>
      </c>
      <c r="G25" s="155" t="s">
        <v>648</v>
      </c>
      <c r="H25" s="62" t="s">
        <v>649</v>
      </c>
    </row>
    <row r="26" customFormat="false" ht="31.5" hidden="false" customHeight="true" outlineLevel="0" collapsed="false">
      <c r="A26" s="66" t="s">
        <v>20</v>
      </c>
      <c r="B26" s="138" t="s">
        <v>22</v>
      </c>
      <c r="C26" s="107" t="s">
        <v>118</v>
      </c>
      <c r="D26" s="156" t="s">
        <v>650</v>
      </c>
      <c r="E26" s="156" t="s">
        <v>651</v>
      </c>
      <c r="F26" s="156" t="s">
        <v>652</v>
      </c>
      <c r="G26" s="156" t="s">
        <v>653</v>
      </c>
      <c r="H26" s="68" t="s">
        <v>654</v>
      </c>
    </row>
    <row r="27" customFormat="false" ht="31.5" hidden="false" customHeight="true" outlineLevel="0" collapsed="false">
      <c r="A27" s="60" t="s">
        <v>20</v>
      </c>
      <c r="B27" s="138" t="s">
        <v>22</v>
      </c>
      <c r="C27" s="107" t="s">
        <v>119</v>
      </c>
      <c r="D27" s="155" t="s">
        <v>655</v>
      </c>
      <c r="E27" s="155" t="s">
        <v>656</v>
      </c>
      <c r="F27" s="155" t="s">
        <v>657</v>
      </c>
      <c r="G27" s="155" t="s">
        <v>658</v>
      </c>
      <c r="H27" s="62" t="s">
        <v>659</v>
      </c>
    </row>
    <row r="28" customFormat="false" ht="31.5" hidden="false" customHeight="true" outlineLevel="0" collapsed="false">
      <c r="A28" s="66" t="s">
        <v>20</v>
      </c>
      <c r="B28" s="140" t="s">
        <v>24</v>
      </c>
      <c r="C28" s="110" t="s">
        <v>120</v>
      </c>
      <c r="D28" s="156" t="s">
        <v>660</v>
      </c>
      <c r="E28" s="156" t="s">
        <v>661</v>
      </c>
      <c r="F28" s="156" t="s">
        <v>662</v>
      </c>
      <c r="G28" s="156" t="s">
        <v>663</v>
      </c>
      <c r="H28" s="68" t="s">
        <v>664</v>
      </c>
    </row>
    <row r="29" customFormat="false" ht="31.5" hidden="false" customHeight="true" outlineLevel="0" collapsed="false">
      <c r="A29" s="60" t="s">
        <v>20</v>
      </c>
      <c r="B29" s="140" t="s">
        <v>24</v>
      </c>
      <c r="C29" s="110" t="s">
        <v>121</v>
      </c>
      <c r="D29" s="155" t="s">
        <v>665</v>
      </c>
      <c r="E29" s="155" t="s">
        <v>666</v>
      </c>
      <c r="F29" s="155" t="s">
        <v>667</v>
      </c>
      <c r="G29" s="155" t="s">
        <v>668</v>
      </c>
      <c r="H29" s="62" t="s">
        <v>669</v>
      </c>
    </row>
    <row r="30" customFormat="false" ht="31.5" hidden="false" customHeight="true" outlineLevel="0" collapsed="false">
      <c r="A30" s="66" t="s">
        <v>20</v>
      </c>
      <c r="B30" s="140" t="s">
        <v>24</v>
      </c>
      <c r="C30" s="110" t="s">
        <v>122</v>
      </c>
      <c r="D30" s="156" t="s">
        <v>670</v>
      </c>
      <c r="E30" s="156" t="s">
        <v>671</v>
      </c>
      <c r="F30" s="156" t="s">
        <v>672</v>
      </c>
      <c r="G30" s="156" t="s">
        <v>673</v>
      </c>
      <c r="H30" s="68" t="s">
        <v>659</v>
      </c>
    </row>
    <row r="31" customFormat="false" ht="31.5" hidden="false" customHeight="true" outlineLevel="0" collapsed="false">
      <c r="A31" s="60" t="s">
        <v>20</v>
      </c>
      <c r="B31" s="142" t="s">
        <v>26</v>
      </c>
      <c r="C31" s="113" t="s">
        <v>123</v>
      </c>
      <c r="D31" s="155" t="s">
        <v>674</v>
      </c>
      <c r="E31" s="155" t="s">
        <v>675</v>
      </c>
      <c r="F31" s="155" t="s">
        <v>676</v>
      </c>
      <c r="G31" s="155" t="s">
        <v>677</v>
      </c>
      <c r="H31" s="62" t="s">
        <v>678</v>
      </c>
    </row>
    <row r="32" customFormat="false" ht="31.5" hidden="false" customHeight="true" outlineLevel="0" collapsed="false">
      <c r="A32" s="66" t="s">
        <v>20</v>
      </c>
      <c r="B32" s="144" t="s">
        <v>29</v>
      </c>
      <c r="C32" s="116" t="s">
        <v>124</v>
      </c>
      <c r="D32" s="156" t="s">
        <v>679</v>
      </c>
      <c r="E32" s="156" t="s">
        <v>680</v>
      </c>
      <c r="F32" s="156" t="s">
        <v>681</v>
      </c>
      <c r="G32" s="156" t="s">
        <v>682</v>
      </c>
      <c r="H32" s="68" t="s">
        <v>683</v>
      </c>
    </row>
    <row r="33" customFormat="false" ht="31.5" hidden="false" customHeight="true" outlineLevel="0" collapsed="false">
      <c r="A33" s="60" t="s">
        <v>20</v>
      </c>
      <c r="B33" s="144" t="s">
        <v>29</v>
      </c>
      <c r="C33" s="116" t="s">
        <v>125</v>
      </c>
      <c r="D33" s="155" t="s">
        <v>684</v>
      </c>
      <c r="E33" s="155" t="s">
        <v>619</v>
      </c>
      <c r="F33" s="155" t="s">
        <v>685</v>
      </c>
      <c r="G33" s="155" t="s">
        <v>686</v>
      </c>
      <c r="H33" s="62" t="s">
        <v>687</v>
      </c>
    </row>
    <row r="34" customFormat="false" ht="31.5" hidden="false" customHeight="true" outlineLevel="0" collapsed="false">
      <c r="A34" s="66" t="s">
        <v>20</v>
      </c>
      <c r="B34" s="146" t="s">
        <v>31</v>
      </c>
      <c r="C34" s="119" t="s">
        <v>126</v>
      </c>
      <c r="D34" s="156" t="s">
        <v>688</v>
      </c>
      <c r="E34" s="156" t="s">
        <v>689</v>
      </c>
      <c r="F34" s="156" t="s">
        <v>690</v>
      </c>
      <c r="G34" s="156" t="s">
        <v>691</v>
      </c>
      <c r="H34" s="68" t="s">
        <v>692</v>
      </c>
    </row>
    <row r="35" customFormat="false" ht="31.5" hidden="false" customHeight="true" outlineLevel="0" collapsed="false">
      <c r="A35" s="60" t="s">
        <v>20</v>
      </c>
      <c r="B35" s="146" t="s">
        <v>31</v>
      </c>
      <c r="C35" s="119" t="s">
        <v>127</v>
      </c>
      <c r="D35" s="155" t="s">
        <v>631</v>
      </c>
      <c r="E35" s="155" t="s">
        <v>632</v>
      </c>
      <c r="F35" s="155" t="s">
        <v>693</v>
      </c>
      <c r="G35" s="155" t="s">
        <v>694</v>
      </c>
      <c r="H35" s="62" t="s">
        <v>695</v>
      </c>
    </row>
    <row r="36" customFormat="false" ht="31.5" hidden="false" customHeight="true" outlineLevel="0" collapsed="false">
      <c r="A36" s="66" t="s">
        <v>20</v>
      </c>
      <c r="B36" s="148" t="s">
        <v>32</v>
      </c>
      <c r="C36" s="122" t="s">
        <v>128</v>
      </c>
      <c r="D36" s="156" t="s">
        <v>696</v>
      </c>
      <c r="E36" s="156" t="s">
        <v>697</v>
      </c>
      <c r="F36" s="156" t="s">
        <v>698</v>
      </c>
      <c r="G36" s="156" t="s">
        <v>699</v>
      </c>
      <c r="H36" s="68" t="s">
        <v>700</v>
      </c>
    </row>
    <row r="37" customFormat="false" ht="31.5" hidden="false" customHeight="true" outlineLevel="0" collapsed="false">
      <c r="A37" s="60" t="s">
        <v>20</v>
      </c>
      <c r="B37" s="152" t="s">
        <v>37</v>
      </c>
      <c r="C37" s="128" t="s">
        <v>129</v>
      </c>
      <c r="D37" s="155" t="s">
        <v>582</v>
      </c>
      <c r="E37" s="155" t="s">
        <v>592</v>
      </c>
      <c r="F37" s="155" t="s">
        <v>584</v>
      </c>
      <c r="G37" s="155" t="s">
        <v>593</v>
      </c>
      <c r="H37" s="62" t="s">
        <v>701</v>
      </c>
    </row>
    <row r="38" customFormat="false" ht="31.5" hidden="false" customHeight="true" outlineLevel="0" collapsed="false">
      <c r="A38" s="66" t="s">
        <v>20</v>
      </c>
      <c r="B38" s="152" t="s">
        <v>37</v>
      </c>
      <c r="C38" s="128" t="s">
        <v>130</v>
      </c>
      <c r="D38" s="156" t="s">
        <v>623</v>
      </c>
      <c r="E38" s="156" t="s">
        <v>624</v>
      </c>
      <c r="F38" s="156" t="s">
        <v>625</v>
      </c>
      <c r="G38" s="156" t="s">
        <v>626</v>
      </c>
      <c r="H38" s="68" t="s">
        <v>702</v>
      </c>
    </row>
    <row r="39" customFormat="false" ht="31.5" hidden="false" customHeight="true" outlineLevel="0" collapsed="false">
      <c r="A39" s="60" t="s">
        <v>20</v>
      </c>
      <c r="B39" s="152" t="s">
        <v>37</v>
      </c>
      <c r="C39" s="128" t="s">
        <v>131</v>
      </c>
      <c r="D39" s="155" t="s">
        <v>703</v>
      </c>
      <c r="E39" s="155" t="s">
        <v>704</v>
      </c>
      <c r="F39" s="155" t="s">
        <v>679</v>
      </c>
      <c r="G39" s="155" t="s">
        <v>705</v>
      </c>
      <c r="H39" s="62" t="s">
        <v>706</v>
      </c>
    </row>
    <row r="40" customFormat="false" ht="31.5" hidden="false" customHeight="true" outlineLevel="0" collapsed="false">
      <c r="A40" s="66" t="s">
        <v>20</v>
      </c>
      <c r="B40" s="152" t="s">
        <v>37</v>
      </c>
      <c r="C40" s="128" t="s">
        <v>132</v>
      </c>
      <c r="D40" s="156" t="s">
        <v>707</v>
      </c>
      <c r="E40" s="156" t="s">
        <v>708</v>
      </c>
      <c r="F40" s="156" t="s">
        <v>709</v>
      </c>
      <c r="G40" s="156" t="s">
        <v>710</v>
      </c>
      <c r="H40" s="68" t="s">
        <v>711</v>
      </c>
    </row>
    <row r="41" customFormat="false" ht="15" hidden="false" customHeight="false" outlineLevel="0" collapsed="false">
      <c r="A41" s="157"/>
      <c r="B41" s="158"/>
      <c r="C41" s="158"/>
      <c r="D41" s="158"/>
      <c r="E41" s="158"/>
      <c r="F41" s="158"/>
      <c r="G41" s="158"/>
      <c r="H41" s="158"/>
    </row>
    <row r="42" customFormat="false" ht="23.85" hidden="false" customHeight="false" outlineLevel="0" collapsed="false">
      <c r="A42" s="159" t="s">
        <v>712</v>
      </c>
      <c r="B42" s="160"/>
      <c r="C42" s="160"/>
      <c r="D42" s="160"/>
      <c r="E42" s="160"/>
      <c r="F42" s="160"/>
      <c r="G42" s="160"/>
      <c r="H42" s="160"/>
    </row>
    <row r="43" customFormat="false" ht="15" hidden="false" customHeight="false" outlineLevel="0" collapsed="false">
      <c r="A43" s="161" t="s">
        <v>628</v>
      </c>
      <c r="B43" s="162" t="s">
        <v>713</v>
      </c>
      <c r="C43" s="162"/>
      <c r="D43" s="162"/>
      <c r="E43" s="163"/>
      <c r="F43" s="163"/>
      <c r="G43" s="163"/>
      <c r="H43" s="163"/>
    </row>
    <row r="44" customFormat="false" ht="15" hidden="false" customHeight="false" outlineLevel="0" collapsed="false">
      <c r="A44" s="161" t="s">
        <v>610</v>
      </c>
      <c r="B44" s="162" t="s">
        <v>714</v>
      </c>
      <c r="C44" s="162"/>
      <c r="D44" s="162"/>
      <c r="E44" s="163"/>
      <c r="F44" s="163"/>
      <c r="G44" s="163"/>
      <c r="H44" s="163"/>
    </row>
    <row r="45" customFormat="false" ht="15" hidden="false" customHeight="false" outlineLevel="0" collapsed="false">
      <c r="A45" s="161" t="s">
        <v>715</v>
      </c>
      <c r="B45" s="162" t="s">
        <v>716</v>
      </c>
      <c r="C45" s="162"/>
      <c r="D45" s="162"/>
      <c r="E45" s="163"/>
      <c r="F45" s="163"/>
      <c r="G45" s="163"/>
      <c r="H45" s="163"/>
    </row>
    <row r="46" customFormat="false" ht="15" hidden="false" customHeight="false" outlineLevel="0" collapsed="false">
      <c r="A46" s="161" t="s">
        <v>717</v>
      </c>
      <c r="B46" s="162" t="s">
        <v>718</v>
      </c>
      <c r="C46" s="162"/>
      <c r="D46" s="162"/>
      <c r="E46" s="163"/>
      <c r="F46" s="163"/>
      <c r="G46" s="163"/>
      <c r="H46" s="163"/>
    </row>
    <row r="47" customFormat="false" ht="15" hidden="false" customHeight="false" outlineLevel="0" collapsed="false">
      <c r="A47" s="161" t="s">
        <v>719</v>
      </c>
      <c r="B47" s="162" t="s">
        <v>720</v>
      </c>
      <c r="C47" s="162"/>
      <c r="D47" s="162"/>
      <c r="E47" s="163"/>
      <c r="F47" s="163"/>
      <c r="G47" s="163"/>
      <c r="H47" s="163"/>
    </row>
    <row r="48" customFormat="false" ht="15" hidden="false" customHeight="false" outlineLevel="0" collapsed="false">
      <c r="A48" s="161" t="s">
        <v>721</v>
      </c>
      <c r="B48" s="162" t="s">
        <v>722</v>
      </c>
      <c r="C48" s="162"/>
      <c r="D48" s="162"/>
      <c r="E48" s="163"/>
      <c r="F48" s="163"/>
      <c r="G48" s="163"/>
      <c r="H48" s="163"/>
    </row>
    <row r="49" customFormat="false" ht="15" hidden="false" customHeight="false" outlineLevel="0" collapsed="false">
      <c r="A49" s="161" t="s">
        <v>723</v>
      </c>
      <c r="B49" s="162" t="s">
        <v>724</v>
      </c>
      <c r="C49" s="162"/>
      <c r="D49" s="162"/>
      <c r="E49" s="163"/>
      <c r="F49" s="163"/>
      <c r="G49" s="163"/>
      <c r="H49" s="163"/>
    </row>
    <row r="50" customFormat="false" ht="15" hidden="false" customHeight="false" outlineLevel="0" collapsed="false">
      <c r="A50" s="161" t="s">
        <v>725</v>
      </c>
      <c r="B50" s="162" t="s">
        <v>726</v>
      </c>
      <c r="C50" s="162"/>
      <c r="D50" s="162"/>
      <c r="E50" s="163"/>
      <c r="F50" s="163"/>
      <c r="G50" s="163"/>
      <c r="H50" s="163"/>
    </row>
  </sheetData>
  <autoFilter ref="A4:H40"/>
  <mergeCells count="9">
    <mergeCell ref="A2:H2"/>
    <mergeCell ref="B43:D43"/>
    <mergeCell ref="B44:D44"/>
    <mergeCell ref="B45:D45"/>
    <mergeCell ref="B46:D46"/>
    <mergeCell ref="B47:D47"/>
    <mergeCell ref="B48:D48"/>
    <mergeCell ref="B49:D49"/>
    <mergeCell ref="B50:D50"/>
  </mergeCells>
  <hyperlinks>
    <hyperlink ref="D5" r:id="rId1" display="freeCodeCamp Learn"/>
    <hyperlink ref="E5" r:id="rId2" display="Java tutorials (dev.java)"/>
    <hyperlink ref="F5" r:id="rId3" display="GeeksforGeeks"/>
    <hyperlink ref="G5" r:id="rId4" display="▶ programming loops conditions for beginners tutorial"/>
    <hyperlink ref="D6" r:id="rId5" display="freeCodeCamp Learn"/>
    <hyperlink ref="E6" r:id="rId6" display="Java tutorials (dev.java)"/>
    <hyperlink ref="F6" r:id="rId7" display="GeeksforGeeks"/>
    <hyperlink ref="G6" r:id="rId8" display="▶ programming functions arrays strings tutorial"/>
    <hyperlink ref="D7" r:id="rId9" display="NeetCode roadmap"/>
    <hyperlink ref="E7" r:id="rId10" display="GeeksforGeeks DSA"/>
    <hyperlink ref="F7" r:id="rId11" display="LeetCode problems"/>
    <hyperlink ref="G7" r:id="rId12" display="▶ DSA arrays prefix sum tutorial"/>
    <hyperlink ref="D8" r:id="rId13" display="n8n docs"/>
    <hyperlink ref="E8" r:id="rId14" display="Prompt engineering guide (Anthropic)"/>
    <hyperlink ref="F8" r:id="rId15" display="OpenAI prompt engineering"/>
    <hyperlink ref="G8" r:id="rId16" display="▶ AI agents n8n RAG prompt engineering tutorial"/>
    <hyperlink ref="D9" r:id="rId17" display="GeeksforGeeks DSA"/>
    <hyperlink ref="E9" r:id="rId18" display="CP-Algorithms"/>
    <hyperlink ref="F9" r:id="rId19" display="LeetCode problems"/>
    <hyperlink ref="G9" r:id="rId20" display="▶ DSA tutorial"/>
    <hyperlink ref="D10" r:id="rId21" display="GeeksforGeeks DSA"/>
    <hyperlink ref="E10" r:id="rId22" display="NeetCode roadmap"/>
    <hyperlink ref="F10" r:id="rId23" display="LeetCode problems"/>
    <hyperlink ref="G10" r:id="rId24" display="▶ DSA tutorial"/>
    <hyperlink ref="D11" r:id="rId25" display="GeeksforGeeks DSA"/>
    <hyperlink ref="E11" r:id="rId26" display="CP-Algorithms"/>
    <hyperlink ref="F11" r:id="rId27" display="LeetCode problems"/>
    <hyperlink ref="G11" r:id="rId28" display="▶ DSA tutorial"/>
    <hyperlink ref="D12" r:id="rId29" display="CP-Algorithms"/>
    <hyperlink ref="E12" r:id="rId30" display="NeetCode roadmap"/>
    <hyperlink ref="F12" r:id="rId31" display="LeetCode problems"/>
    <hyperlink ref="G12" r:id="rId32" display="▶ DSA tutorial"/>
    <hyperlink ref="D13" r:id="rId33" display="SQLBolt interactive"/>
    <hyperlink ref="E13" r:id="rId34" display="W3Schools SQL"/>
    <hyperlink ref="F13" r:id="rId35" display="Mode SQL tutorial"/>
    <hyperlink ref="G13" r:id="rId36" display="▶ SQL tutorial"/>
    <hyperlink ref="D14" r:id="rId37" display="Java tutorials (dev.java)"/>
    <hyperlink ref="E14" r:id="rId38" display="Oracle: Java concurrency"/>
    <hyperlink ref="F14" r:id="rId39" display="Refactoring Guru"/>
    <hyperlink ref="G14" r:id="rId40" display="▶ Java tutorial"/>
    <hyperlink ref="D15" r:id="rId41" display="Refactoring Guru patterns"/>
    <hyperlink ref="E15" r:id="rId42" display="Refactoring Guru SOLID"/>
    <hyperlink ref="F15" r:id="rId43" display="UML basics (Visual Paradigm)"/>
    <hyperlink ref="G15" r:id="rId44" display="▶ design patterns SOLID tutorial"/>
    <hyperlink ref="D16" r:id="rId45" display="Refactoring Guru patterns"/>
    <hyperlink ref="E16" r:id="rId46" display="Java tutorials (dev.java)"/>
    <hyperlink ref="F16" r:id="rId47" display="InterviewBit"/>
    <hyperlink ref="G16" r:id="rId48" display="▶ low level design machine coding tutorial"/>
    <hyperlink ref="D17" r:id="rId49" display="Spring guides"/>
    <hyperlink ref="E17" r:id="rId50" display="Git book"/>
    <hyperlink ref="F17" r:id="rId51" display="JWT intro"/>
    <hyperlink ref="G17" r:id="rId52" display="▶ Spring Boot tutorial"/>
    <hyperlink ref="D18" r:id="rId53" display="Spring Boot docs"/>
    <hyperlink ref="E18" r:id="rId54" display="Docker get started"/>
    <hyperlink ref="F18" r:id="rId55" display="AWS getting started"/>
    <hyperlink ref="G18" r:id="rId56" display="▶ Spring Boot microservices tutorial"/>
    <hyperlink ref="D19" r:id="rId57" display="System Design Primer"/>
    <hyperlink ref="E19" r:id="rId58" display="High Scalability"/>
    <hyperlink ref="F19" r:id="rId59" display="Kafka docs"/>
    <hyperlink ref="G19" r:id="rId60" display="▶ system design tutorial"/>
    <hyperlink ref="D20" r:id="rId61" display="InterviewBit"/>
    <hyperlink ref="E20" r:id="rId62" display="LeetCode"/>
    <hyperlink ref="F20" r:id="rId63" display="System Design Primer"/>
    <hyperlink ref="G20" r:id="rId64" display="▶ coding interview mock tutorial"/>
    <hyperlink ref="D21" r:id="rId65" display="OpenAI docs"/>
    <hyperlink ref="E21" r:id="rId66" display="Anthropic docs"/>
    <hyperlink ref="F21" r:id="rId67" display="LangChain docs"/>
    <hyperlink ref="G21" r:id="rId68" display="▶ LLM API backend tutorial"/>
    <hyperlink ref="D22" r:id="rId69" display="CP-Algorithms"/>
    <hyperlink ref="E22" r:id="rId70" display="NeetCode roadmap"/>
    <hyperlink ref="F22" r:id="rId71" display="LeetCode problems"/>
    <hyperlink ref="G22" r:id="rId72" display="▶ advanced DSA tries graphs DP tutorial"/>
    <hyperlink ref="D23" r:id="rId73" display="Hugging Face learn"/>
    <hyperlink ref="E23" r:id="rId74" display="OpenAI docs"/>
    <hyperlink ref="F23" r:id="rId75" display="Anthropic docs"/>
    <hyperlink ref="G23" r:id="rId76" display="▶ generative AI RAG agents tutorial"/>
    <hyperlink ref="D24" r:id="rId77" display="Apache Spark docs"/>
    <hyperlink ref="E24" r:id="rId78" display="Apache Hive"/>
    <hyperlink ref="F24" r:id="rId79" display="Kafka docs"/>
    <hyperlink ref="G24" r:id="rId80" display="▶ data engineering Spark tutorial"/>
    <hyperlink ref="D25" r:id="rId81" display="Atlassian PM guide"/>
    <hyperlink ref="E25" r:id="rId82" display="Product School blog"/>
    <hyperlink ref="F25" r:id="rId83" display="Mind the Product"/>
    <hyperlink ref="G25" r:id="rId84" display="▶ product management tutorial"/>
    <hyperlink ref="D26" r:id="rId85" display="MDN Learn Web Dev"/>
    <hyperlink ref="E26" r:id="rId86" display="web.dev Learn CSS"/>
    <hyperlink ref="F26" r:id="rId87" display="web.dev Learn HTML"/>
    <hyperlink ref="G26" r:id="rId88" display="▶ HTML CSS tutorial"/>
    <hyperlink ref="D27" r:id="rId89" display="Bootstrap docs"/>
    <hyperlink ref="E27" r:id="rId90" display="MDN CSS grid"/>
    <hyperlink ref="F27" r:id="rId91" display="Bootstrap examples"/>
    <hyperlink ref="G27" r:id="rId92" display="▶ Bootstrap 5 tutorial"/>
    <hyperlink ref="D28" r:id="rId93" display="javascript.info"/>
    <hyperlink ref="E28" r:id="rId94" display="MDN JavaScript"/>
    <hyperlink ref="F28" r:id="rId95" display="JS30 projects"/>
    <hyperlink ref="G28" r:id="rId96" display="▶ JavaScript tutorial"/>
    <hyperlink ref="D29" r:id="rId97" display="javascript.info prototypes"/>
    <hyperlink ref="E29" r:id="rId98" display="javascript.info classes"/>
    <hyperlink ref="F29" r:id="rId99" display="MDN: Inheritance &amp; prototype chain"/>
    <hyperlink ref="G29" r:id="rId100" display="▶ JavaScript prototypes this bind polyfill tutorial"/>
    <hyperlink ref="D30" r:id="rId101" display="jQuery Learning Center"/>
    <hyperlink ref="E30" r:id="rId102" display="jQuery API docs"/>
    <hyperlink ref="F30" r:id="rId103" display="MDN: DOM"/>
    <hyperlink ref="G30" r:id="rId104" display="▶ jQuery tutorial"/>
    <hyperlink ref="D31" r:id="rId105" display="React docs (react.dev)"/>
    <hyperlink ref="E31" r:id="rId106" display="Redux essentials"/>
    <hyperlink ref="F31" r:id="rId107" display="React Router"/>
    <hyperlink ref="G31" r:id="rId108" display="▶ React tutorial"/>
    <hyperlink ref="D32" r:id="rId109" display="Node.js learn"/>
    <hyperlink ref="E32" r:id="rId110" display="Express docs"/>
    <hyperlink ref="F32" r:id="rId111" display="Mongoose docs"/>
    <hyperlink ref="G32" r:id="rId112" display="▶ Node Express MongoDB tutorial"/>
    <hyperlink ref="D33" r:id="rId113" display="OWASP Top Ten"/>
    <hyperlink ref="E33" r:id="rId114" display="Docker get started"/>
    <hyperlink ref="F33" r:id="rId115" display="MongoDB manual"/>
    <hyperlink ref="G33" r:id="rId116" display="▶ Node.js backend security testing Docker tutorial"/>
    <hyperlink ref="D34" r:id="rId117" display="TypeScript handbook"/>
    <hyperlink ref="E34" r:id="rId118" display="Next.js Learn"/>
    <hyperlink ref="F34" r:id="rId119" display="React docs: hooks"/>
    <hyperlink ref="G34" r:id="rId120" display="▶ React TypeScript Next.js tutorial"/>
    <hyperlink ref="D35" r:id="rId121" display="OpenAI docs"/>
    <hyperlink ref="E35" r:id="rId122" display="Anthropic docs"/>
    <hyperlink ref="F35" r:id="rId123" display="GitHub Copilot docs"/>
    <hyperlink ref="G35" r:id="rId124" display="▶ AI coding assistant full stack tutorial"/>
    <hyperlink ref="D36" r:id="rId125" display="GitHub docs"/>
    <hyperlink ref="E36" r:id="rId126" display="Vercel docs"/>
    <hyperlink ref="F36" r:id="rId127" display="Render docs"/>
    <hyperlink ref="G36" r:id="rId128" display="▶ full stack project deploy tutorial"/>
    <hyperlink ref="D37" r:id="rId129" display="NeetCode roadmap"/>
    <hyperlink ref="E37" r:id="rId130" display="CP-Algorithms"/>
    <hyperlink ref="F37" r:id="rId131" display="LeetCode problems"/>
    <hyperlink ref="G37" r:id="rId132" display="▶ DSA tutorial"/>
    <hyperlink ref="D38" r:id="rId133" display="System Design Primer"/>
    <hyperlink ref="E38" r:id="rId134" display="High Scalability"/>
    <hyperlink ref="F38" r:id="rId135" display="Kafka docs"/>
    <hyperlink ref="G38" r:id="rId136" display="▶ system design tutorial"/>
    <hyperlink ref="D39" r:id="rId137" display="Angular tutorials"/>
    <hyperlink ref="E39" r:id="rId138" display="Angular docs"/>
    <hyperlink ref="F39" r:id="rId139" display="Node.js learn"/>
    <hyperlink ref="G39" r:id="rId140" display="▶ Angular tutorial"/>
    <hyperlink ref="D40" r:id="rId141" display="PHP manual"/>
    <hyperlink ref="E40" r:id="rId142" display="Laravel docs"/>
    <hyperlink ref="F40" r:id="rId143" display="MySQL docs"/>
    <hyperlink ref="G40" r:id="rId144" display="▶ PHP Laravel tutorial"/>
    <hyperlink ref="A43" r:id="rId145" display="LeetCode"/>
    <hyperlink ref="A44" r:id="rId146" display="InterviewBit"/>
    <hyperlink ref="A45" r:id="rId147" display="NeetCode 150"/>
    <hyperlink ref="A46" r:id="rId148" display="HackerRank SQL"/>
    <hyperlink ref="A47" r:id="rId149" display="Frontend Mentor"/>
    <hyperlink ref="A48" r:id="rId150" display="GreatFrontEnd"/>
    <hyperlink ref="A49" r:id="rId151" display="The Odin Project"/>
    <hyperlink ref="A50" r:id="rId152" display="roadmap.sh"/>
  </hyperlinks>
  <printOptions headings="false" gridLines="false" gridLinesSet="true" horizontalCentered="false" verticalCentered="false"/>
  <pageMargins left="0.4" right="0.4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Developed by Rajesh Kumar Singh</oddFooter>
  </headerFooter>
  <drawing r:id="rId15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C4899"/>
    <pageSetUpPr fitToPage="tru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2"/>
    <col collapsed="false" customWidth="true" hidden="false" outlineLevel="0" max="3" min="3" style="0" width="40"/>
    <col collapsed="false" customWidth="true" hidden="false" outlineLevel="0" max="4" min="4" style="0" width="42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34"/>
  </cols>
  <sheetData>
    <row r="1" customFormat="false" ht="42" hidden="false" customHeight="true" outlineLevel="0" collapsed="false">
      <c r="A1" s="1" t="s">
        <v>727</v>
      </c>
      <c r="B1" s="3"/>
      <c r="C1" s="3"/>
      <c r="D1" s="3"/>
      <c r="E1" s="3"/>
      <c r="F1" s="3"/>
      <c r="G1" s="3"/>
    </row>
    <row r="2" customFormat="false" ht="24" hidden="false" customHeight="true" outlineLevel="0" collapsed="false">
      <c r="A2" s="78" t="s">
        <v>728</v>
      </c>
      <c r="B2" s="6"/>
      <c r="C2" s="6"/>
      <c r="D2" s="6"/>
      <c r="E2" s="6"/>
      <c r="F2" s="6"/>
      <c r="G2" s="6"/>
    </row>
    <row r="3" customFormat="false" ht="7.5" hidden="false" customHeight="true" outlineLevel="0" collapsed="false"/>
    <row r="4" customFormat="false" ht="33.75" hidden="false" customHeight="true" outlineLevel="0" collapsed="false">
      <c r="A4" s="34" t="s">
        <v>91</v>
      </c>
      <c r="B4" s="34" t="s">
        <v>729</v>
      </c>
      <c r="C4" s="34" t="s">
        <v>730</v>
      </c>
      <c r="D4" s="34" t="s">
        <v>731</v>
      </c>
      <c r="E4" s="34" t="s">
        <v>732</v>
      </c>
      <c r="F4" s="34" t="s">
        <v>145</v>
      </c>
      <c r="G4" s="34" t="s">
        <v>733</v>
      </c>
    </row>
    <row r="5" customFormat="false" ht="30" hidden="false" customHeight="true" outlineLevel="0" collapsed="false">
      <c r="A5" s="129" t="s">
        <v>19</v>
      </c>
      <c r="B5" s="62" t="s">
        <v>734</v>
      </c>
      <c r="C5" s="62" t="s">
        <v>735</v>
      </c>
      <c r="D5" s="62" t="s">
        <v>736</v>
      </c>
      <c r="E5" s="60" t="s">
        <v>737</v>
      </c>
      <c r="F5" s="98" t="s">
        <v>151</v>
      </c>
      <c r="G5" s="164"/>
    </row>
    <row r="6" customFormat="false" ht="30" hidden="false" customHeight="true" outlineLevel="0" collapsed="false">
      <c r="A6" s="134" t="s">
        <v>19</v>
      </c>
      <c r="B6" s="68" t="s">
        <v>738</v>
      </c>
      <c r="C6" s="68" t="s">
        <v>735</v>
      </c>
      <c r="D6" s="68" t="s">
        <v>739</v>
      </c>
      <c r="E6" s="66" t="s">
        <v>737</v>
      </c>
      <c r="F6" s="165" t="s">
        <v>151</v>
      </c>
      <c r="G6" s="166"/>
    </row>
    <row r="7" customFormat="false" ht="30" hidden="false" customHeight="true" outlineLevel="0" collapsed="false">
      <c r="A7" s="129" t="s">
        <v>19</v>
      </c>
      <c r="B7" s="62" t="s">
        <v>740</v>
      </c>
      <c r="C7" s="62" t="s">
        <v>741</v>
      </c>
      <c r="D7" s="62" t="s">
        <v>742</v>
      </c>
      <c r="E7" s="60" t="s">
        <v>737</v>
      </c>
      <c r="F7" s="98" t="s">
        <v>151</v>
      </c>
      <c r="G7" s="164"/>
    </row>
    <row r="8" customFormat="false" ht="30" hidden="false" customHeight="true" outlineLevel="0" collapsed="false">
      <c r="A8" s="134" t="s">
        <v>19</v>
      </c>
      <c r="B8" s="68" t="s">
        <v>743</v>
      </c>
      <c r="C8" s="68" t="s">
        <v>741</v>
      </c>
      <c r="D8" s="68" t="s">
        <v>744</v>
      </c>
      <c r="E8" s="66" t="s">
        <v>737</v>
      </c>
      <c r="F8" s="165" t="s">
        <v>151</v>
      </c>
      <c r="G8" s="166"/>
    </row>
    <row r="9" customFormat="false" ht="30" hidden="false" customHeight="true" outlineLevel="0" collapsed="false">
      <c r="A9" s="129" t="s">
        <v>19</v>
      </c>
      <c r="B9" s="62" t="s">
        <v>745</v>
      </c>
      <c r="C9" s="62" t="s">
        <v>741</v>
      </c>
      <c r="D9" s="62" t="s">
        <v>746</v>
      </c>
      <c r="E9" s="60" t="s">
        <v>737</v>
      </c>
      <c r="F9" s="98" t="s">
        <v>151</v>
      </c>
      <c r="G9" s="164"/>
    </row>
    <row r="10" customFormat="false" ht="30" hidden="false" customHeight="true" outlineLevel="0" collapsed="false">
      <c r="A10" s="134" t="s">
        <v>19</v>
      </c>
      <c r="B10" s="68" t="s">
        <v>747</v>
      </c>
      <c r="C10" s="68" t="s">
        <v>741</v>
      </c>
      <c r="D10" s="68" t="s">
        <v>748</v>
      </c>
      <c r="E10" s="66" t="s">
        <v>737</v>
      </c>
      <c r="F10" s="165" t="s">
        <v>151</v>
      </c>
      <c r="G10" s="166"/>
    </row>
    <row r="11" customFormat="false" ht="30" hidden="false" customHeight="true" outlineLevel="0" collapsed="false">
      <c r="A11" s="129" t="s">
        <v>19</v>
      </c>
      <c r="B11" s="62" t="s">
        <v>749</v>
      </c>
      <c r="C11" s="62" t="s">
        <v>750</v>
      </c>
      <c r="D11" s="62" t="s">
        <v>751</v>
      </c>
      <c r="E11" s="60" t="s">
        <v>737</v>
      </c>
      <c r="F11" s="98" t="s">
        <v>151</v>
      </c>
      <c r="G11" s="164"/>
    </row>
    <row r="12" customFormat="false" ht="30" hidden="false" customHeight="true" outlineLevel="0" collapsed="false">
      <c r="A12" s="134" t="s">
        <v>19</v>
      </c>
      <c r="B12" s="68" t="s">
        <v>752</v>
      </c>
      <c r="C12" s="68" t="s">
        <v>753</v>
      </c>
      <c r="D12" s="68" t="s">
        <v>754</v>
      </c>
      <c r="E12" s="66" t="s">
        <v>737</v>
      </c>
      <c r="F12" s="165" t="s">
        <v>151</v>
      </c>
      <c r="G12" s="166"/>
    </row>
    <row r="13" customFormat="false" ht="30" hidden="false" customHeight="true" outlineLevel="0" collapsed="false">
      <c r="A13" s="129" t="s">
        <v>19</v>
      </c>
      <c r="B13" s="62" t="s">
        <v>755</v>
      </c>
      <c r="C13" s="62" t="s">
        <v>756</v>
      </c>
      <c r="D13" s="62" t="s">
        <v>757</v>
      </c>
      <c r="E13" s="60" t="s">
        <v>737</v>
      </c>
      <c r="F13" s="98" t="s">
        <v>151</v>
      </c>
      <c r="G13" s="164"/>
    </row>
    <row r="14" customFormat="false" ht="30" hidden="false" customHeight="true" outlineLevel="0" collapsed="false">
      <c r="A14" s="134" t="s">
        <v>19</v>
      </c>
      <c r="B14" s="68" t="s">
        <v>758</v>
      </c>
      <c r="C14" s="68" t="s">
        <v>759</v>
      </c>
      <c r="D14" s="68" t="s">
        <v>760</v>
      </c>
      <c r="E14" s="66" t="s">
        <v>761</v>
      </c>
      <c r="F14" s="165" t="s">
        <v>151</v>
      </c>
      <c r="G14" s="166"/>
    </row>
    <row r="15" customFormat="false" ht="30" hidden="false" customHeight="true" outlineLevel="0" collapsed="false">
      <c r="A15" s="154" t="s">
        <v>20</v>
      </c>
      <c r="B15" s="62" t="s">
        <v>762</v>
      </c>
      <c r="C15" s="62" t="s">
        <v>763</v>
      </c>
      <c r="D15" s="62" t="s">
        <v>764</v>
      </c>
      <c r="E15" s="60" t="s">
        <v>761</v>
      </c>
      <c r="F15" s="98" t="s">
        <v>151</v>
      </c>
      <c r="G15" s="164"/>
    </row>
    <row r="16" customFormat="false" ht="30" hidden="false" customHeight="true" outlineLevel="0" collapsed="false">
      <c r="A16" s="153" t="s">
        <v>20</v>
      </c>
      <c r="B16" s="68" t="s">
        <v>765</v>
      </c>
      <c r="C16" s="68" t="s">
        <v>766</v>
      </c>
      <c r="D16" s="68" t="s">
        <v>767</v>
      </c>
      <c r="E16" s="66" t="s">
        <v>737</v>
      </c>
      <c r="F16" s="165" t="s">
        <v>151</v>
      </c>
      <c r="G16" s="166"/>
    </row>
    <row r="17" customFormat="false" ht="30" hidden="false" customHeight="true" outlineLevel="0" collapsed="false">
      <c r="A17" s="154" t="s">
        <v>20</v>
      </c>
      <c r="B17" s="62" t="s">
        <v>768</v>
      </c>
      <c r="C17" s="62" t="s">
        <v>769</v>
      </c>
      <c r="D17" s="62" t="s">
        <v>770</v>
      </c>
      <c r="E17" s="60" t="s">
        <v>737</v>
      </c>
      <c r="F17" s="98" t="s">
        <v>151</v>
      </c>
      <c r="G17" s="164"/>
    </row>
    <row r="18" customFormat="false" ht="30" hidden="false" customHeight="true" outlineLevel="0" collapsed="false">
      <c r="A18" s="153" t="s">
        <v>20</v>
      </c>
      <c r="B18" s="68" t="s">
        <v>771</v>
      </c>
      <c r="C18" s="68" t="s">
        <v>772</v>
      </c>
      <c r="D18" s="68" t="s">
        <v>773</v>
      </c>
      <c r="E18" s="66" t="s">
        <v>737</v>
      </c>
      <c r="F18" s="165" t="s">
        <v>151</v>
      </c>
      <c r="G18" s="166"/>
    </row>
    <row r="19" customFormat="false" ht="30" hidden="false" customHeight="true" outlineLevel="0" collapsed="false">
      <c r="A19" s="154" t="s">
        <v>20</v>
      </c>
      <c r="B19" s="62" t="s">
        <v>774</v>
      </c>
      <c r="C19" s="62" t="s">
        <v>775</v>
      </c>
      <c r="D19" s="62" t="s">
        <v>776</v>
      </c>
      <c r="E19" s="60" t="s">
        <v>737</v>
      </c>
      <c r="F19" s="98" t="s">
        <v>151</v>
      </c>
      <c r="G19" s="164"/>
    </row>
    <row r="20" customFormat="false" ht="30" hidden="false" customHeight="true" outlineLevel="0" collapsed="false">
      <c r="A20" s="153" t="s">
        <v>20</v>
      </c>
      <c r="B20" s="68" t="s">
        <v>777</v>
      </c>
      <c r="C20" s="68" t="s">
        <v>778</v>
      </c>
      <c r="D20" s="68" t="s">
        <v>779</v>
      </c>
      <c r="E20" s="66" t="s">
        <v>780</v>
      </c>
      <c r="F20" s="165" t="s">
        <v>151</v>
      </c>
      <c r="G20" s="166"/>
    </row>
    <row r="21" customFormat="false" ht="30" hidden="false" customHeight="true" outlineLevel="0" collapsed="false">
      <c r="A21" s="154" t="s">
        <v>20</v>
      </c>
      <c r="B21" s="62" t="s">
        <v>781</v>
      </c>
      <c r="C21" s="62" t="s">
        <v>782</v>
      </c>
      <c r="D21" s="62" t="s">
        <v>783</v>
      </c>
      <c r="E21" s="60" t="s">
        <v>737</v>
      </c>
      <c r="F21" s="98" t="s">
        <v>151</v>
      </c>
      <c r="G21" s="164"/>
    </row>
    <row r="22" customFormat="false" ht="30" hidden="false" customHeight="true" outlineLevel="0" collapsed="false">
      <c r="A22" s="153" t="s">
        <v>20</v>
      </c>
      <c r="B22" s="68" t="s">
        <v>784</v>
      </c>
      <c r="C22" s="68" t="s">
        <v>778</v>
      </c>
      <c r="D22" s="68" t="s">
        <v>785</v>
      </c>
      <c r="E22" s="66" t="s">
        <v>780</v>
      </c>
      <c r="F22" s="165" t="s">
        <v>151</v>
      </c>
      <c r="G22" s="166"/>
    </row>
    <row r="23" customFormat="false" ht="30" hidden="false" customHeight="true" outlineLevel="0" collapsed="false">
      <c r="A23" s="154" t="s">
        <v>20</v>
      </c>
      <c r="B23" s="62" t="s">
        <v>786</v>
      </c>
      <c r="C23" s="62" t="s">
        <v>787</v>
      </c>
      <c r="D23" s="62" t="s">
        <v>788</v>
      </c>
      <c r="E23" s="60" t="s">
        <v>737</v>
      </c>
      <c r="F23" s="98" t="s">
        <v>151</v>
      </c>
      <c r="G23" s="164"/>
    </row>
    <row r="24" customFormat="false" ht="30" hidden="false" customHeight="true" outlineLevel="0" collapsed="false">
      <c r="A24" s="153" t="s">
        <v>20</v>
      </c>
      <c r="B24" s="68" t="s">
        <v>789</v>
      </c>
      <c r="C24" s="68" t="s">
        <v>790</v>
      </c>
      <c r="D24" s="68" t="s">
        <v>791</v>
      </c>
      <c r="E24" s="66" t="s">
        <v>761</v>
      </c>
      <c r="F24" s="165" t="s">
        <v>151</v>
      </c>
      <c r="G24" s="166"/>
    </row>
  </sheetData>
  <conditionalFormatting sqref="F5:F24">
    <cfRule type="expression" priority="2" aboveAverage="0" equalAverage="0" bottom="0" percent="0" rank="0" text="" dxfId="46">
      <formula>$F5="Done"</formula>
    </cfRule>
    <cfRule type="expression" priority="3" aboveAverage="0" equalAverage="0" bottom="0" percent="0" rank="0" text="" dxfId="38">
      <formula>$F5="In Progress"</formula>
    </cfRule>
    <cfRule type="expression" priority="4" aboveAverage="0" equalAverage="0" bottom="0" percent="0" rank="0" text="" dxfId="39">
      <formula>$F5="Not Started"</formula>
    </cfRule>
    <cfRule type="expression" priority="5" aboveAverage="0" equalAverage="0" bottom="0" percent="0" rank="0" text="" dxfId="47">
      <formula>$F5="Done"</formula>
    </cfRule>
  </conditionalFormatting>
  <dataValidations count="1">
    <dataValidation allowBlank="false" errorStyle="stop" operator="between" showDropDown="false" showErrorMessage="false" showInputMessage="false" sqref="F5:F24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4" right="0.4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Developed by Rajesh Kumar Singh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A3AF"/>
    <pageSetUpPr fitToPage="true"/>
  </sheetPr>
  <dimension ref="A1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0"/>
  </cols>
  <sheetData>
    <row r="1" customFormat="false" ht="39.75" hidden="false" customHeight="true" outlineLevel="0" collapsed="false">
      <c r="A1" s="167" t="s">
        <v>792</v>
      </c>
      <c r="B1" s="3"/>
    </row>
    <row r="3" customFormat="false" ht="24" hidden="false" customHeight="true" outlineLevel="0" collapsed="false">
      <c r="A3" s="168" t="s">
        <v>793</v>
      </c>
      <c r="B3" s="168"/>
    </row>
    <row r="4" customFormat="false" ht="27.75" hidden="false" customHeight="true" outlineLevel="0" collapsed="false">
      <c r="A4" s="169" t="s">
        <v>794</v>
      </c>
      <c r="B4" s="170" t="s">
        <v>795</v>
      </c>
    </row>
    <row r="5" customFormat="false" ht="42" hidden="false" customHeight="true" outlineLevel="0" collapsed="false">
      <c r="A5" s="169" t="s">
        <v>796</v>
      </c>
      <c r="B5" s="170" t="s">
        <v>797</v>
      </c>
    </row>
    <row r="6" customFormat="false" ht="42" hidden="false" customHeight="true" outlineLevel="0" collapsed="false">
      <c r="A6" s="169" t="s">
        <v>798</v>
      </c>
      <c r="B6" s="170" t="s">
        <v>799</v>
      </c>
    </row>
    <row r="7" customFormat="false" ht="24" hidden="false" customHeight="true" outlineLevel="0" collapsed="false">
      <c r="A7" s="168" t="s">
        <v>800</v>
      </c>
      <c r="B7" s="168"/>
    </row>
    <row r="8" customFormat="false" ht="15.75" hidden="false" customHeight="true" outlineLevel="0" collapsed="false">
      <c r="A8" s="169" t="s">
        <v>801</v>
      </c>
      <c r="B8" s="170" t="s">
        <v>802</v>
      </c>
    </row>
    <row r="9" customFormat="false" ht="27.75" hidden="false" customHeight="true" outlineLevel="0" collapsed="false">
      <c r="A9" s="169" t="s">
        <v>803</v>
      </c>
      <c r="B9" s="170" t="s">
        <v>804</v>
      </c>
    </row>
    <row r="10" customFormat="false" ht="27.75" hidden="false" customHeight="true" outlineLevel="0" collapsed="false">
      <c r="A10" s="169" t="s">
        <v>805</v>
      </c>
      <c r="B10" s="170" t="s">
        <v>806</v>
      </c>
    </row>
    <row r="11" customFormat="false" ht="27.75" hidden="false" customHeight="true" outlineLevel="0" collapsed="false">
      <c r="A11" s="169" t="s">
        <v>807</v>
      </c>
      <c r="B11" s="170" t="s">
        <v>808</v>
      </c>
    </row>
    <row r="12" customFormat="false" ht="27.75" hidden="false" customHeight="true" outlineLevel="0" collapsed="false">
      <c r="A12" s="169" t="s">
        <v>809</v>
      </c>
      <c r="B12" s="170" t="s">
        <v>810</v>
      </c>
    </row>
    <row r="13" customFormat="false" ht="42" hidden="false" customHeight="true" outlineLevel="0" collapsed="false">
      <c r="A13" s="169" t="s">
        <v>811</v>
      </c>
      <c r="B13" s="170" t="s">
        <v>812</v>
      </c>
    </row>
    <row r="14" customFormat="false" ht="27.75" hidden="false" customHeight="true" outlineLevel="0" collapsed="false">
      <c r="A14" s="169" t="s">
        <v>813</v>
      </c>
      <c r="B14" s="170" t="s">
        <v>814</v>
      </c>
    </row>
    <row r="15" customFormat="false" ht="15.75" hidden="false" customHeight="true" outlineLevel="0" collapsed="false">
      <c r="A15" s="169" t="s">
        <v>815</v>
      </c>
      <c r="B15" s="170" t="s">
        <v>816</v>
      </c>
    </row>
    <row r="16" customFormat="false" ht="15" hidden="false" customHeight="false" outlineLevel="0" collapsed="false">
      <c r="A16" s="171" t="s">
        <v>817</v>
      </c>
      <c r="B16" s="172"/>
    </row>
    <row r="17" customFormat="false" ht="15.75" hidden="false" customHeight="true" outlineLevel="0" collapsed="false">
      <c r="A17" s="169" t="s">
        <v>818</v>
      </c>
      <c r="B17" s="170" t="s">
        <v>819</v>
      </c>
    </row>
    <row r="18" customFormat="false" ht="15.75" hidden="false" customHeight="true" outlineLevel="0" collapsed="false">
      <c r="A18" s="169" t="s">
        <v>818</v>
      </c>
      <c r="B18" s="170" t="s">
        <v>820</v>
      </c>
    </row>
    <row r="19" customFormat="false" ht="15.75" hidden="false" customHeight="true" outlineLevel="0" collapsed="false">
      <c r="A19" s="169" t="s">
        <v>818</v>
      </c>
      <c r="B19" s="170" t="s">
        <v>821</v>
      </c>
    </row>
    <row r="20" customFormat="false" ht="43.5" hidden="false" customHeight="true" outlineLevel="0" collapsed="false">
      <c r="A20" s="169" t="s">
        <v>822</v>
      </c>
      <c r="B20" s="170" t="s">
        <v>823</v>
      </c>
    </row>
    <row r="22" customFormat="false" ht="15" hidden="false" customHeight="false" outlineLevel="0" collapsed="false">
      <c r="A22" s="173" t="s">
        <v>824</v>
      </c>
      <c r="B22" s="174" t="s">
        <v>825</v>
      </c>
    </row>
  </sheetData>
  <printOptions headings="false" gridLines="false" gridLinesSet="true" horizontalCentered="false" verticalCentered="false"/>
  <pageMargins left="0.4" right="0.4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Developed by Rajesh Kumar Singh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2026-10-07T11:08:45Z</dcterms:created>
  <dc:creator>openpyxl</dc:creator>
  <dc:description/>
  <dc:language>en-US</dc:language>
  <cp:lastModifiedBy/>
  <dcterms:modified xsi:type="dcterms:W3CDTF">2026-10-08T04:16:59Z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